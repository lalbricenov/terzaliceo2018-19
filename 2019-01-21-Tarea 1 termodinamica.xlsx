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briceño\Documents\2018-19\3 Liceo\Informatica\Notas y evaluaciones\2 Pentamestre\2019-04-12-Tarea web 1\"/>
    </mc:Choice>
  </mc:AlternateContent>
  <bookViews>
    <workbookView xWindow="0" yWindow="0" windowWidth="14370" windowHeight="11670" activeTab="2"/>
  </bookViews>
  <sheets>
    <sheet name="Downloaded 2018.09.03 - All ass" sheetId="1" r:id="rId1"/>
    <sheet name="Notas" sheetId="3" r:id="rId2"/>
    <sheet name="Hoja2" sheetId="4" r:id="rId3"/>
    <sheet name="Hoja1" sheetId="2" r:id="rId4"/>
  </sheets>
  <calcPr calcId="162913"/>
  <pivotCaches>
    <pivotCache cacheId="0" r:id="rId5"/>
  </pivotCaches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" i="4"/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</calcChain>
</file>

<file path=xl/sharedStrings.xml><?xml version="1.0" encoding="utf-8"?>
<sst xmlns="http://schemas.openxmlformats.org/spreadsheetml/2006/main" count="7083" uniqueCount="175">
  <si>
    <t>Assignment Name</t>
  </si>
  <si>
    <t>Student Name</t>
  </si>
  <si>
    <t>Score At Due Date</t>
  </si>
  <si>
    <t>Score Best Ever</t>
  </si>
  <si>
    <t>Points Possible</t>
  </si>
  <si>
    <t>Number Of Attempts</t>
  </si>
  <si>
    <t>Most Recent Completion Date</t>
  </si>
  <si>
    <t>Due Date</t>
  </si>
  <si>
    <t>Assignment URL</t>
  </si>
  <si>
    <t>Assignment Type</t>
  </si>
  <si>
    <t>Quiz 2 for Rational exponents &amp; radicals</t>
  </si>
  <si>
    <t>Angulo Mateo</t>
  </si>
  <si>
    <t>Jul 19th; 9:19AM</t>
  </si>
  <si>
    <t>Aug 31st; 11:59PM</t>
  </si>
  <si>
    <t>https://www.khanacademy.org/math/algebra/rational-exponents-and-radicals#rational-exponents-and-the-properties-of-exponents-quiz</t>
  </si>
  <si>
    <t>Quiz</t>
  </si>
  <si>
    <t>null</t>
  </si>
  <si>
    <t>Gaitan Botero Ilona</t>
  </si>
  <si>
    <t>Jul 19th; 9:29AM</t>
  </si>
  <si>
    <t>Jamaica Maria Valentina</t>
  </si>
  <si>
    <t>Jul 19th; 9:24AM</t>
  </si>
  <si>
    <t>Pulido Andres</t>
  </si>
  <si>
    <t>Aug 21st; 12:30PM</t>
  </si>
  <si>
    <t>Jamaica Laura Sofia</t>
  </si>
  <si>
    <t>Blanco Rangel Miguel Angel</t>
  </si>
  <si>
    <t>Jul 19th; 9:09AM</t>
  </si>
  <si>
    <t>Lopez Silvana</t>
  </si>
  <si>
    <t>Cotes Juan</t>
  </si>
  <si>
    <t>Polania Samuel</t>
  </si>
  <si>
    <t>Aug 2nd; 8:14PM</t>
  </si>
  <si>
    <t>Jimenez Laura Valentina</t>
  </si>
  <si>
    <t>Restrepo Palacio Esteban</t>
  </si>
  <si>
    <t>professoriliceogav</t>
  </si>
  <si>
    <t>Castro Juan</t>
  </si>
  <si>
    <t>Mejia Maria Lucia</t>
  </si>
  <si>
    <t>Ferla Francesca</t>
  </si>
  <si>
    <t>Rios Loren Juliana</t>
  </si>
  <si>
    <t>Castellanos Aura Lucía</t>
  </si>
  <si>
    <t>Chamie Juan</t>
  </si>
  <si>
    <t>Aug 14th; 6:58PM</t>
  </si>
  <si>
    <t>Clavijo Rebeca</t>
  </si>
  <si>
    <t>Gramegna Gianluca</t>
  </si>
  <si>
    <t>Preciga Steeven</t>
  </si>
  <si>
    <t>Murande Francesco</t>
  </si>
  <si>
    <t>Jul 26th; 2:07PM</t>
  </si>
  <si>
    <t>Quiz 1 for Linear equations &amp; graphs</t>
  </si>
  <si>
    <t>https://www.khanacademy.org/math/algebra/two-var-linear-equations#x-and-y-intercepts-quiz</t>
  </si>
  <si>
    <t>Jul 10th; 11:17AM</t>
  </si>
  <si>
    <t>Aug 14th; 6:50PM</t>
  </si>
  <si>
    <t>Quiz 3 for Linear equations &amp; graphs</t>
  </si>
  <si>
    <t>Aug 23rd; 11:36AM</t>
  </si>
  <si>
    <t>https://www.khanacademy.org/math/algebra/two-var-linear-equations#writing-slope-intercept-equations-quiz</t>
  </si>
  <si>
    <t>Aug 2nd; 7:22PM</t>
  </si>
  <si>
    <t>Aug 6th; 2:01PM</t>
  </si>
  <si>
    <t>Aug 15th; 1:38AM</t>
  </si>
  <si>
    <t>Aug 18th; 4:59PM</t>
  </si>
  <si>
    <t>Linear equations &amp; graphs</t>
  </si>
  <si>
    <t>https://www.khanacademy.org/math/algebra/two-var-linear-equations#two-var-linear-equations-unit-test</t>
  </si>
  <si>
    <t>Unit Test</t>
  </si>
  <si>
    <t>Aug 15th; 1:24AM</t>
  </si>
  <si>
    <t>Aug 11th; 4:02PM</t>
  </si>
  <si>
    <t>Aug 8th; 5:02PM</t>
  </si>
  <si>
    <t>Aug 13th; 7:31PM</t>
  </si>
  <si>
    <t>Aug 23rd; 8:11PM</t>
  </si>
  <si>
    <t>Quiz 4 for Linear equations &amp; graphs</t>
  </si>
  <si>
    <t>https://www.khanacademy.org/math/algebra/two-var-linear-equations#forms-of-two-var-linear-equations-quiz</t>
  </si>
  <si>
    <t>Jul 19th; 12:19PM</t>
  </si>
  <si>
    <t>Aug 15th; 4:18PM</t>
  </si>
  <si>
    <t>Aug 7th; 9:02PM</t>
  </si>
  <si>
    <t>Quiz 1 for Functions</t>
  </si>
  <si>
    <t>https://www.khanacademy.org/math/algebra/algebra-functions#functions-and-equations-quiz</t>
  </si>
  <si>
    <t>Aug 15th; 5:33PM</t>
  </si>
  <si>
    <t>Quiz 2 for Functions</t>
  </si>
  <si>
    <t>https://www.khanacademy.org/math/algebra/algebra-functions#recognizing-functions-ddp-quiz</t>
  </si>
  <si>
    <t>Aug 15th; 4:08PM</t>
  </si>
  <si>
    <t>Aug 7th; 8:23PM</t>
  </si>
  <si>
    <t>Aug 15th; 5:51PM</t>
  </si>
  <si>
    <t>Quiz 3 for Functions</t>
  </si>
  <si>
    <t>https://www.khanacademy.org/math/algebra/algebra-functions#interpreting-features-of-graphs-quiz</t>
  </si>
  <si>
    <t>Aug 7th; 8:40PM</t>
  </si>
  <si>
    <t>Aug 14th; 11:40AM</t>
  </si>
  <si>
    <t>Aug 21st; 5:42PM</t>
  </si>
  <si>
    <t>Aug 27th; 7:12PM</t>
  </si>
  <si>
    <t>Aug 29th; 4:06PM</t>
  </si>
  <si>
    <t>Aug 15th; 1:30AM</t>
  </si>
  <si>
    <t>Aug 31st; 4:55PM</t>
  </si>
  <si>
    <t>Quiz 1 for Linear word problems</t>
  </si>
  <si>
    <t>https://www.khanacademy.org/math/algebra/linear-word-problems#comparing-linear-functions-quiz</t>
  </si>
  <si>
    <t>Linear word problems</t>
  </si>
  <si>
    <t>https://www.khanacademy.org/math/algebra/linear-word-problems#linear-word-problems-unit-test</t>
  </si>
  <si>
    <t>Jul 23rd; 11:24PM</t>
  </si>
  <si>
    <t>Aug 31st; 9:27PM</t>
  </si>
  <si>
    <t>Quiz 2 for Linear word problems</t>
  </si>
  <si>
    <t>Aug 31st; 4:47PM</t>
  </si>
  <si>
    <t>https://www.khanacademy.org/math/algebra/linear-word-problems#linear-models-word-problems-quiz</t>
  </si>
  <si>
    <t>Aug 24th; 8:32PM</t>
  </si>
  <si>
    <t>Quiz 1 for Absolute value &amp; piecewise functions</t>
  </si>
  <si>
    <t>https://www.khanacademy.org/math/algebra/absolute-value-equations-functions#graphs-of-absolute-value-functions-quiz</t>
  </si>
  <si>
    <t>Quiz 1 for Rational exponents &amp; radicals</t>
  </si>
  <si>
    <t>https://www.khanacademy.org/math/algebra/rational-exponents-and-radicals#alg1-radicals-quiz</t>
  </si>
  <si>
    <t>Quiz 2 for Linear equations &amp; graphs</t>
  </si>
  <si>
    <t>https://www.khanacademy.org/math/algebra/two-var-linear-equations#hor-and-ver-lines-alg1-quiz</t>
  </si>
  <si>
    <t>Aug 13th; 8:27PM</t>
  </si>
  <si>
    <t>Aug 8th; 3:42PM</t>
  </si>
  <si>
    <t>Aug 23rd; 4:39PM</t>
  </si>
  <si>
    <t>Aug 30th; 9:11PM</t>
  </si>
  <si>
    <t>Quiz 3 for Rational exponents &amp; radicals</t>
  </si>
  <si>
    <t>Aug 13th; 11:55AM</t>
  </si>
  <si>
    <t>https://www.khanacademy.org/math/algebra/rational-exponents-and-radicals#alg1-simplify-higher-index-roots-quiz</t>
  </si>
  <si>
    <t>Aug 9th; 10:01PM</t>
  </si>
  <si>
    <t>Aug 16th; 5:32PM</t>
  </si>
  <si>
    <t>Aug 28th; 4:36PM</t>
  </si>
  <si>
    <t>Rational exponents &amp; radicals</t>
  </si>
  <si>
    <t>https://www.khanacademy.org/math/algebra/rational-exponents-and-radicals#rational-exponents-and-radicals-unit-test</t>
  </si>
  <si>
    <t>Aug 23rd; 5:08PM</t>
  </si>
  <si>
    <t>Aug 23rd; 5:02PM</t>
  </si>
  <si>
    <t>Aug 24th; 9:39PM</t>
  </si>
  <si>
    <t>Quiz 1 for Exponential growth &amp; decay</t>
  </si>
  <si>
    <t>https://www.khanacademy.org/math/algebra/introduction-to-exponential-functions#exponential-expressions-alg1-quiz</t>
  </si>
  <si>
    <t>Quiz 2 for Exponential growth &amp; decay</t>
  </si>
  <si>
    <t>https://www.khanacademy.org/math/algebra/introduction-to-exponential-functions#exponential-functions-from-tables-and-graphs-quiz</t>
  </si>
  <si>
    <t>Aug 31st; 8:00PM</t>
  </si>
  <si>
    <t>Quiz 1 for Quadratics</t>
  </si>
  <si>
    <t>https://www.khanacademy.org/math/algebra/quadratics#factored-form-alg1-quiz</t>
  </si>
  <si>
    <t>Quiz 2 for Quadratics</t>
  </si>
  <si>
    <t>https://www.khanacademy.org/math/algebra/quadratics#vertex-form-alg1-quiz</t>
  </si>
  <si>
    <t>Aug 7th; 8:45PM</t>
  </si>
  <si>
    <t>Quiz 3 for Quadratics</t>
  </si>
  <si>
    <t>https://www.khanacademy.org/math/algebra/quadratics#solving-quadratics-by-completing-the-square-quiz</t>
  </si>
  <si>
    <t>Aug 7th; 7:57PM</t>
  </si>
  <si>
    <t>Aug 13th; 1:23PM</t>
  </si>
  <si>
    <t>Aug 15th; 4:14PM</t>
  </si>
  <si>
    <t>Quiz 4 for Quadratics</t>
  </si>
  <si>
    <t>https://www.khanacademy.org/math/algebra/quadratics#quad-standard-form-alg1-quiz</t>
  </si>
  <si>
    <t>Aug 15th; 12:01PM</t>
  </si>
  <si>
    <t>Aug 27th; 6:48PM</t>
  </si>
  <si>
    <t>Aug 21st; 1:02PM</t>
  </si>
  <si>
    <t>Aug 28th; 4:21PM</t>
  </si>
  <si>
    <t>Aug 31st; 6:47PM</t>
  </si>
  <si>
    <t>Aug 25th; 7:48PM</t>
  </si>
  <si>
    <t>Quadratics</t>
  </si>
  <si>
    <t>Aug 31st; 5:50PM</t>
  </si>
  <si>
    <t>https://www.khanacademy.org/math/algebra/quadratics#quadratics-unit-test</t>
  </si>
  <si>
    <t>Aug 28th; 6:30PM</t>
  </si>
  <si>
    <t>Aug 15th; 5:40PM</t>
  </si>
  <si>
    <t>Aug 30th; 3:03PM</t>
  </si>
  <si>
    <t>Quiz 5 for Quadratics</t>
  </si>
  <si>
    <t>https://www.khanacademy.org/math/algebra/quadratics#transforming-quadratic-functions-quiz</t>
  </si>
  <si>
    <t>Aug 7th; 8:49PM</t>
  </si>
  <si>
    <t>Aug 15th; 5:42PM</t>
  </si>
  <si>
    <t>Quiz 1 for Transformations</t>
  </si>
  <si>
    <t>https://www.khanacademy.org/math/geometry/hs-geo-transformations#hs-geo-translations-quiz</t>
  </si>
  <si>
    <t>Quiz 2 for Transformations</t>
  </si>
  <si>
    <t>https://www.khanacademy.org/math/geometry/hs-geo-transformations#hs-geo-rotations-quiz</t>
  </si>
  <si>
    <t>Quiz 3 for Transformations</t>
  </si>
  <si>
    <t>Aug 31st; 6:15PM</t>
  </si>
  <si>
    <t>https://www.khanacademy.org/math/geometry/hs-geo-transformations#hs-geo-reflections-quiz</t>
  </si>
  <si>
    <t>Aug 31st; 12:56PM</t>
  </si>
  <si>
    <t>Etiquetas de fila</t>
  </si>
  <si>
    <t>Total general</t>
  </si>
  <si>
    <t>Grade</t>
  </si>
  <si>
    <t>Etiquetas de columna</t>
  </si>
  <si>
    <t>Promedio de Grade</t>
  </si>
  <si>
    <t>SI ALGUNO NO APARECE EN LA LISTA ES PORQUE NO HIZO NADA</t>
  </si>
  <si>
    <t>Correa Santiago</t>
  </si>
  <si>
    <t>Moreno Daniel</t>
  </si>
  <si>
    <t>Moore Daniel</t>
  </si>
  <si>
    <t>Nota</t>
  </si>
  <si>
    <t>Nombre estudiante</t>
  </si>
  <si>
    <t>Encabezandos</t>
  </si>
  <si>
    <t>Imágenes</t>
  </si>
  <si>
    <t>Links</t>
  </si>
  <si>
    <t>Listas</t>
  </si>
  <si>
    <t>Observación</t>
  </si>
  <si>
    <t>Empeño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</si>
</sst>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0" fontId="0" fillId="0" borderId="0" xfId="0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UIS BRICEÑO" refreshedDate="43346.376839814817" createdVersion="6" refreshedVersion="6" minRefreshableVersion="3" recordCount="475">
  <cacheSource type="worksheet">
    <worksheetSource name="Tabla2"/>
  </cacheSource>
  <cacheFields count="11">
    <cacheField name="Assignment Name" numFmtId="0">
      <sharedItems count="27">
        <s v="Quiz 2 for Rational exponents &amp; radicals"/>
        <s v="Quiz 1 for Linear equations &amp; graphs"/>
        <s v="Quiz 3 for Linear equations &amp; graphs"/>
        <s v="Linear equations &amp; graphs"/>
        <s v="Quiz 4 for Linear equations &amp; graphs"/>
        <s v="Quiz 1 for Functions"/>
        <s v="Quiz 2 for Functions"/>
        <s v="Quiz 3 for Functions"/>
        <s v="Quiz 1 for Linear word problems"/>
        <s v="Linear word problems"/>
        <s v="Quiz 2 for Linear word problems"/>
        <s v="Quiz 1 for Absolute value &amp; piecewise functions"/>
        <s v="Quiz 1 for Rational exponents &amp; radicals"/>
        <s v="Quiz 2 for Linear equations &amp; graphs"/>
        <s v="Quiz 3 for Rational exponents &amp; radicals"/>
        <s v="Rational exponents &amp; radicals"/>
        <s v="Quiz 1 for Exponential growth &amp; decay"/>
        <s v="Quiz 2 for Exponential growth &amp; decay"/>
        <s v="Quiz 1 for Quadratics"/>
        <s v="Quiz 2 for Quadratics"/>
        <s v="Quiz 3 for Quadratics"/>
        <s v="Quiz 4 for Quadratics"/>
        <s v="Quadratics"/>
        <s v="Quiz 5 for Quadratics"/>
        <s v="Quiz 1 for Transformations"/>
        <s v="Quiz 2 for Transformations"/>
        <s v="Quiz 3 for Transformations"/>
      </sharedItems>
    </cacheField>
    <cacheField name="Student Name" numFmtId="0">
      <sharedItems count="19">
        <s v="Angulo Mateo"/>
        <s v="Gaitan Botero Ilona"/>
        <s v="Jamaica Maria Valentina"/>
        <s v="Pulido Andres"/>
        <s v="Jamaica Laura Sofia"/>
        <s v="Blanco Rangel Miguel Angel"/>
        <s v="Cotes Juan"/>
        <s v="Polania Samuel"/>
        <s v="Jimenez Laura Valentina"/>
        <s v="Restrepo Palacio Esteban"/>
        <s v="Ferla Francesca"/>
        <s v="Rios Loren Juliana"/>
        <s v="Castellanos Aura Lucía"/>
        <s v="Chamie Juan"/>
        <s v="Clavijo Rebeca"/>
        <s v="Gramegna Gianluca"/>
        <s v="Preciga Steeven"/>
        <s v="Murande Francesco"/>
        <s v="professoriliceogav"/>
      </sharedItems>
    </cacheField>
    <cacheField name="Score At Due Date" numFmtId="0">
      <sharedItems containsString="0" containsBlank="1" containsNumber="1" containsInteger="1" minValue="0" maxValue="12"/>
    </cacheField>
    <cacheField name="Score Best Ever" numFmtId="0">
      <sharedItems containsSemiMixedTypes="0" containsString="0" containsNumber="1" containsInteger="1" minValue="1" maxValue="22"/>
    </cacheField>
    <cacheField name="Points Possible" numFmtId="0">
      <sharedItems containsSemiMixedTypes="0" containsString="0" containsNumber="1" containsInteger="1" minValue="5" maxValue="23"/>
    </cacheField>
    <cacheField name="Grade" numFmtId="0">
      <sharedItems containsSemiMixedTypes="0" containsString="0" containsNumber="1" minValue="16.666666666666664" maxValue="100"/>
    </cacheField>
    <cacheField name="Number Of Attempts" numFmtId="0">
      <sharedItems containsSemiMixedTypes="0" containsString="0" containsNumber="1" containsInteger="1" minValue="0" maxValue="22"/>
    </cacheField>
    <cacheField name="Most Recent Completion Date" numFmtId="0">
      <sharedItems/>
    </cacheField>
    <cacheField name="Due Date" numFmtId="0">
      <sharedItems/>
    </cacheField>
    <cacheField name="Assignment URL" numFmtId="0">
      <sharedItems/>
    </cacheField>
    <cacheField name="Assignment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5">
  <r>
    <x v="0"/>
    <x v="0"/>
    <n v="5"/>
    <n v="4"/>
    <n v="5"/>
    <n v="80"/>
    <n v="1"/>
    <s v="Jul 19th; 9:19AM"/>
    <s v="Aug 31st; 11:59PM"/>
    <s v="https://www.khanacademy.org/math/algebra/rational-exponents-and-radicals#rational-exponents-and-the-properties-of-exponents-quiz"/>
    <s v="Quiz"/>
  </r>
  <r>
    <x v="0"/>
    <x v="1"/>
    <n v="5"/>
    <n v="4"/>
    <n v="5"/>
    <n v="80"/>
    <n v="4"/>
    <s v="Jul 19th; 9:29AM"/>
    <s v="Aug 31st; 11:59PM"/>
    <s v="https://www.khanacademy.org/math/algebra/rational-exponents-and-radicals#rational-exponents-and-the-properties-of-exponents-quiz"/>
    <s v="Quiz"/>
  </r>
  <r>
    <x v="0"/>
    <x v="2"/>
    <n v="5"/>
    <n v="5"/>
    <n v="5"/>
    <n v="100"/>
    <n v="2"/>
    <s v="Jul 19th; 9:24AM"/>
    <s v="Aug 31st; 11:59PM"/>
    <s v="https://www.khanacademy.org/math/algebra/rational-exponents-and-radicals#rational-exponents-and-the-properties-of-exponents-quiz"/>
    <s v="Quiz"/>
  </r>
  <r>
    <x v="0"/>
    <x v="3"/>
    <n v="4"/>
    <n v="5"/>
    <n v="5"/>
    <n v="100"/>
    <n v="3"/>
    <s v="Aug 21st; 12:30PM"/>
    <s v="Aug 31st; 11:59PM"/>
    <s v="https://www.khanacademy.org/math/algebra/rational-exponents-and-radicals#rational-exponents-and-the-properties-of-exponents-quiz"/>
    <s v="Quiz"/>
  </r>
  <r>
    <x v="0"/>
    <x v="4"/>
    <n v="4"/>
    <n v="4"/>
    <n v="5"/>
    <n v="80"/>
    <n v="2"/>
    <s v="Jul 19th; 9:29AM"/>
    <s v="Aug 31st; 11:59PM"/>
    <s v="https://www.khanacademy.org/math/algebra/rational-exponents-and-radicals#rational-exponents-and-the-properties-of-exponents-quiz"/>
    <s v="Quiz"/>
  </r>
  <r>
    <x v="0"/>
    <x v="5"/>
    <n v="4"/>
    <n v="4"/>
    <n v="5"/>
    <n v="80"/>
    <n v="1"/>
    <s v="Jul 19th; 9:09AM"/>
    <s v="Aug 31st; 11:59PM"/>
    <s v="https://www.khanacademy.org/math/algebra/rational-exponents-and-radicals#rational-exponents-and-the-properties-of-exponents-quiz"/>
    <s v="Quiz"/>
  </r>
  <r>
    <x v="0"/>
    <x v="6"/>
    <n v="4"/>
    <n v="3"/>
    <n v="5"/>
    <n v="60"/>
    <n v="1"/>
    <s v="Jul 19th; 9:24AM"/>
    <s v="Aug 31st; 11:59PM"/>
    <s v="https://www.khanacademy.org/math/algebra/rational-exponents-and-radicals#rational-exponents-and-the-properties-of-exponents-quiz"/>
    <s v="Quiz"/>
  </r>
  <r>
    <x v="0"/>
    <x v="7"/>
    <n v="5"/>
    <n v="5"/>
    <n v="5"/>
    <n v="100"/>
    <n v="8"/>
    <s v="Aug 2nd; 8:14PM"/>
    <s v="Aug 31st; 11:59PM"/>
    <s v="https://www.khanacademy.org/math/algebra/rational-exponents-and-radicals#rational-exponents-and-the-properties-of-exponents-quiz"/>
    <s v="Quiz"/>
  </r>
  <r>
    <x v="0"/>
    <x v="8"/>
    <n v="4"/>
    <n v="3"/>
    <n v="5"/>
    <n v="60"/>
    <n v="2"/>
    <s v="Jul 19th; 9:29AM"/>
    <s v="Aug 31st; 11:59PM"/>
    <s v="https://www.khanacademy.org/math/algebra/rational-exponents-and-radicals#rational-exponents-and-the-properties-of-exponents-quiz"/>
    <s v="Quiz"/>
  </r>
  <r>
    <x v="0"/>
    <x v="9"/>
    <n v="4"/>
    <n v="4"/>
    <n v="5"/>
    <n v="80"/>
    <n v="1"/>
    <s v="Jul 19th; 9:09AM"/>
    <s v="Aug 31st; 11:59PM"/>
    <s v="https://www.khanacademy.org/math/algebra/rational-exponents-and-radicals#rational-exponents-and-the-properties-of-exponents-quiz"/>
    <s v="Quiz"/>
  </r>
  <r>
    <x v="0"/>
    <x v="10"/>
    <n v="4"/>
    <n v="2"/>
    <n v="5"/>
    <n v="40"/>
    <n v="1"/>
    <s v="Jul 19th; 9:24AM"/>
    <s v="Aug 31st; 11:59PM"/>
    <s v="https://www.khanacademy.org/math/algebra/rational-exponents-and-radicals#rational-exponents-and-the-properties-of-exponents-quiz"/>
    <s v="Quiz"/>
  </r>
  <r>
    <x v="0"/>
    <x v="11"/>
    <n v="4"/>
    <n v="5"/>
    <n v="5"/>
    <n v="100"/>
    <n v="2"/>
    <s v="Jul 19th; 9:24AM"/>
    <s v="Aug 31st; 11:59PM"/>
    <s v="https://www.khanacademy.org/math/algebra/rational-exponents-and-radicals#rational-exponents-and-the-properties-of-exponents-quiz"/>
    <s v="Quiz"/>
  </r>
  <r>
    <x v="0"/>
    <x v="12"/>
    <n v="5"/>
    <n v="5"/>
    <n v="5"/>
    <n v="100"/>
    <n v="2"/>
    <s v="Jul 19th; 9:19AM"/>
    <s v="Aug 31st; 11:59PM"/>
    <s v="https://www.khanacademy.org/math/algebra/rational-exponents-and-radicals#rational-exponents-and-the-properties-of-exponents-quiz"/>
    <s v="Quiz"/>
  </r>
  <r>
    <x v="0"/>
    <x v="13"/>
    <n v="5"/>
    <n v="5"/>
    <n v="5"/>
    <n v="100"/>
    <n v="11"/>
    <s v="Aug 14th; 6:58PM"/>
    <s v="Aug 31st; 11:59PM"/>
    <s v="https://www.khanacademy.org/math/algebra/rational-exponents-and-radicals#rational-exponents-and-the-properties-of-exponents-quiz"/>
    <s v="Quiz"/>
  </r>
  <r>
    <x v="0"/>
    <x v="14"/>
    <n v="5"/>
    <n v="5"/>
    <n v="5"/>
    <n v="100"/>
    <n v="2"/>
    <s v="Jul 19th; 9:19AM"/>
    <s v="Aug 31st; 11:59PM"/>
    <s v="https://www.khanacademy.org/math/algebra/rational-exponents-and-radicals#rational-exponents-and-the-properties-of-exponents-quiz"/>
    <s v="Quiz"/>
  </r>
  <r>
    <x v="0"/>
    <x v="15"/>
    <n v="4"/>
    <n v="2"/>
    <n v="5"/>
    <n v="40"/>
    <n v="1"/>
    <s v="Jul 19th; 9:09AM"/>
    <s v="Aug 31st; 11:59PM"/>
    <s v="https://www.khanacademy.org/math/algebra/rational-exponents-and-radicals#rational-exponents-and-the-properties-of-exponents-quiz"/>
    <s v="Quiz"/>
  </r>
  <r>
    <x v="0"/>
    <x v="16"/>
    <n v="4"/>
    <n v="5"/>
    <n v="5"/>
    <n v="100"/>
    <n v="1"/>
    <s v="Jul 19th; 9:09AM"/>
    <s v="Aug 31st; 11:59PM"/>
    <s v="https://www.khanacademy.org/math/algebra/rational-exponents-and-radicals#rational-exponents-and-the-properties-of-exponents-quiz"/>
    <s v="Quiz"/>
  </r>
  <r>
    <x v="0"/>
    <x v="17"/>
    <n v="5"/>
    <n v="5"/>
    <n v="5"/>
    <n v="100"/>
    <n v="5"/>
    <s v="Jul 26th; 2:07PM"/>
    <s v="Aug 31st; 11:59PM"/>
    <s v="https://www.khanacademy.org/math/algebra/rational-exponents-and-radicals#rational-exponents-and-the-properties-of-exponents-quiz"/>
    <s v="Quiz"/>
  </r>
  <r>
    <x v="1"/>
    <x v="0"/>
    <n v="5"/>
    <n v="4"/>
    <n v="5"/>
    <n v="80"/>
    <n v="2"/>
    <s v="Jul 19th; 9:19AM"/>
    <s v="Aug 31st; 11:59PM"/>
    <s v="https://www.khanacademy.org/math/algebra/two-var-linear-equations#x-and-y-intercepts-quiz"/>
    <s v="Quiz"/>
  </r>
  <r>
    <x v="1"/>
    <x v="1"/>
    <n v="5"/>
    <n v="5"/>
    <n v="5"/>
    <n v="100"/>
    <n v="3"/>
    <s v="Jul 19th; 9:19AM"/>
    <s v="Aug 31st; 11:59PM"/>
    <s v="https://www.khanacademy.org/math/algebra/two-var-linear-equations#x-and-y-intercepts-quiz"/>
    <s v="Quiz"/>
  </r>
  <r>
    <x v="1"/>
    <x v="2"/>
    <n v="4"/>
    <n v="5"/>
    <n v="5"/>
    <n v="100"/>
    <n v="1"/>
    <s v="Jul 10th; 11:17AM"/>
    <s v="Aug 31st; 11:59PM"/>
    <s v="https://www.khanacademy.org/math/algebra/two-var-linear-equations#x-and-y-intercepts-quiz"/>
    <s v="Quiz"/>
  </r>
  <r>
    <x v="1"/>
    <x v="3"/>
    <n v="4"/>
    <n v="4"/>
    <n v="5"/>
    <n v="80"/>
    <n v="1"/>
    <s v="Jul 10th; 11:17AM"/>
    <s v="Aug 31st; 11:59PM"/>
    <s v="https://www.khanacademy.org/math/algebra/two-var-linear-equations#x-and-y-intercepts-quiz"/>
    <s v="Quiz"/>
  </r>
  <r>
    <x v="1"/>
    <x v="4"/>
    <n v="4"/>
    <n v="4"/>
    <n v="5"/>
    <n v="80"/>
    <n v="2"/>
    <s v="Jul 19th; 9:09AM"/>
    <s v="Aug 31st; 11:59PM"/>
    <s v="https://www.khanacademy.org/math/algebra/two-var-linear-equations#x-and-y-intercepts-quiz"/>
    <s v="Quiz"/>
  </r>
  <r>
    <x v="1"/>
    <x v="5"/>
    <n v="5"/>
    <n v="4"/>
    <n v="5"/>
    <n v="80"/>
    <n v="3"/>
    <s v="Jul 19th; 9:19AM"/>
    <s v="Aug 31st; 11:59PM"/>
    <s v="https://www.khanacademy.org/math/algebra/two-var-linear-equations#x-and-y-intercepts-quiz"/>
    <s v="Quiz"/>
  </r>
  <r>
    <x v="1"/>
    <x v="6"/>
    <n v="4"/>
    <n v="3"/>
    <n v="5"/>
    <n v="60"/>
    <n v="1"/>
    <s v="Jul 10th; 11:17AM"/>
    <s v="Aug 31st; 11:59PM"/>
    <s v="https://www.khanacademy.org/math/algebra/two-var-linear-equations#x-and-y-intercepts-quiz"/>
    <s v="Quiz"/>
  </r>
  <r>
    <x v="1"/>
    <x v="7"/>
    <n v="5"/>
    <n v="4"/>
    <n v="5"/>
    <n v="80"/>
    <n v="5"/>
    <s v="Aug 14th; 6:58PM"/>
    <s v="Aug 31st; 11:59PM"/>
    <s v="https://www.khanacademy.org/math/algebra/two-var-linear-equations#x-and-y-intercepts-quiz"/>
    <s v="Quiz"/>
  </r>
  <r>
    <x v="1"/>
    <x v="8"/>
    <n v="5"/>
    <n v="3"/>
    <n v="5"/>
    <n v="60"/>
    <n v="3"/>
    <s v="Jul 19th; 9:19AM"/>
    <s v="Aug 31st; 11:59PM"/>
    <s v="https://www.khanacademy.org/math/algebra/two-var-linear-equations#x-and-y-intercepts-quiz"/>
    <s v="Quiz"/>
  </r>
  <r>
    <x v="1"/>
    <x v="9"/>
    <n v="5"/>
    <n v="5"/>
    <n v="5"/>
    <n v="100"/>
    <n v="3"/>
    <s v="Jul 19th; 9:19AM"/>
    <s v="Aug 31st; 11:59PM"/>
    <s v="https://www.khanacademy.org/math/algebra/two-var-linear-equations#x-and-y-intercepts-quiz"/>
    <s v="Quiz"/>
  </r>
  <r>
    <x v="1"/>
    <x v="18"/>
    <n v="4"/>
    <n v="4"/>
    <n v="5"/>
    <n v="80"/>
    <n v="1"/>
    <s v="Jul 10th; 11:17AM"/>
    <s v="Aug 31st; 11:59PM"/>
    <s v="https://www.khanacademy.org/math/algebra/two-var-linear-equations#x-and-y-intercepts-quiz"/>
    <s v="Quiz"/>
  </r>
  <r>
    <x v="1"/>
    <x v="10"/>
    <n v="4"/>
    <n v="2"/>
    <n v="5"/>
    <n v="40"/>
    <n v="2"/>
    <s v="Jul 19th; 9:09AM"/>
    <s v="Aug 31st; 11:59PM"/>
    <s v="https://www.khanacademy.org/math/algebra/two-var-linear-equations#x-and-y-intercepts-quiz"/>
    <s v="Quiz"/>
  </r>
  <r>
    <x v="1"/>
    <x v="11"/>
    <n v="5"/>
    <n v="4"/>
    <n v="5"/>
    <n v="80"/>
    <n v="2"/>
    <s v="Jul 19th; 9:19AM"/>
    <s v="Aug 31st; 11:59PM"/>
    <s v="https://www.khanacademy.org/math/algebra/two-var-linear-equations#x-and-y-intercepts-quiz"/>
    <s v="Quiz"/>
  </r>
  <r>
    <x v="1"/>
    <x v="12"/>
    <n v="5"/>
    <n v="5"/>
    <n v="5"/>
    <n v="100"/>
    <n v="5"/>
    <s v="Aug 14th; 6:50PM"/>
    <s v="Aug 31st; 11:59PM"/>
    <s v="https://www.khanacademy.org/math/algebra/two-var-linear-equations#x-and-y-intercepts-quiz"/>
    <s v="Quiz"/>
  </r>
  <r>
    <x v="1"/>
    <x v="13"/>
    <n v="5"/>
    <n v="5"/>
    <n v="5"/>
    <n v="100"/>
    <n v="3"/>
    <s v="Jul 19th; 9:19AM"/>
    <s v="Aug 31st; 11:59PM"/>
    <s v="https://www.khanacademy.org/math/algebra/two-var-linear-equations#x-and-y-intercepts-quiz"/>
    <s v="Quiz"/>
  </r>
  <r>
    <x v="1"/>
    <x v="14"/>
    <n v="4"/>
    <n v="4"/>
    <n v="5"/>
    <n v="80"/>
    <n v="2"/>
    <s v="Jul 19th; 9:09AM"/>
    <s v="Aug 31st; 11:59PM"/>
    <s v="https://www.khanacademy.org/math/algebra/two-var-linear-equations#x-and-y-intercepts-quiz"/>
    <s v="Quiz"/>
  </r>
  <r>
    <x v="1"/>
    <x v="15"/>
    <n v="4"/>
    <n v="4"/>
    <n v="5"/>
    <n v="80"/>
    <n v="1"/>
    <s v="Jul 10th; 11:17AM"/>
    <s v="Aug 31st; 11:59PM"/>
    <s v="https://www.khanacademy.org/math/algebra/two-var-linear-equations#x-and-y-intercepts-quiz"/>
    <s v="Quiz"/>
  </r>
  <r>
    <x v="1"/>
    <x v="16"/>
    <n v="5"/>
    <n v="5"/>
    <n v="5"/>
    <n v="100"/>
    <n v="3"/>
    <s v="Jul 19th; 9:19AM"/>
    <s v="Aug 31st; 11:59PM"/>
    <s v="https://www.khanacademy.org/math/algebra/two-var-linear-equations#x-and-y-intercepts-quiz"/>
    <s v="Quiz"/>
  </r>
  <r>
    <x v="1"/>
    <x v="17"/>
    <n v="5"/>
    <n v="5"/>
    <n v="5"/>
    <n v="100"/>
    <n v="6"/>
    <s v="Aug 14th; 6:50PM"/>
    <s v="Aug 31st; 11:59PM"/>
    <s v="https://www.khanacademy.org/math/algebra/two-var-linear-equations#x-and-y-intercepts-quiz"/>
    <s v="Quiz"/>
  </r>
  <r>
    <x v="2"/>
    <x v="0"/>
    <n v="4"/>
    <n v="5"/>
    <n v="5"/>
    <n v="100"/>
    <n v="1"/>
    <s v="Aug 23rd; 11:36AM"/>
    <s v="Aug 31st; 11:59PM"/>
    <s v="https://www.khanacademy.org/math/algebra/two-var-linear-equations#writing-slope-intercept-equations-quiz"/>
    <s v="Quiz"/>
  </r>
  <r>
    <x v="2"/>
    <x v="1"/>
    <n v="5"/>
    <n v="5"/>
    <n v="5"/>
    <n v="100"/>
    <n v="2"/>
    <s v="Jul 26th; 2:07PM"/>
    <s v="Aug 31st; 11:59PM"/>
    <s v="https://www.khanacademy.org/math/algebra/two-var-linear-equations#writing-slope-intercept-equations-quiz"/>
    <s v="Quiz"/>
  </r>
  <r>
    <x v="2"/>
    <x v="2"/>
    <n v="4"/>
    <n v="5"/>
    <n v="5"/>
    <n v="100"/>
    <n v="2"/>
    <s v="Aug 2nd; 7:22PM"/>
    <s v="Aug 31st; 11:59PM"/>
    <s v="https://www.khanacademy.org/math/algebra/two-var-linear-equations#writing-slope-intercept-equations-quiz"/>
    <s v="Quiz"/>
  </r>
  <r>
    <x v="2"/>
    <x v="3"/>
    <n v="4"/>
    <n v="5"/>
    <n v="5"/>
    <n v="100"/>
    <n v="1"/>
    <s v="Jul 19th; 9:24AM"/>
    <s v="Aug 31st; 11:59PM"/>
    <s v="https://www.khanacademy.org/math/algebra/two-var-linear-equations#writing-slope-intercept-equations-quiz"/>
    <s v="Quiz"/>
  </r>
  <r>
    <x v="2"/>
    <x v="4"/>
    <n v="3"/>
    <n v="4"/>
    <n v="5"/>
    <n v="80"/>
    <n v="1"/>
    <s v="Jul 19th; 9:29AM"/>
    <s v="Aug 31st; 11:59PM"/>
    <s v="https://www.khanacademy.org/math/algebra/two-var-linear-equations#writing-slope-intercept-equations-quiz"/>
    <s v="Quiz"/>
  </r>
  <r>
    <x v="2"/>
    <x v="5"/>
    <n v="4"/>
    <n v="3"/>
    <n v="5"/>
    <n v="60"/>
    <n v="1"/>
    <s v="Jul 19th; 9:24AM"/>
    <s v="Aug 31st; 11:59PM"/>
    <s v="https://www.khanacademy.org/math/algebra/two-var-linear-equations#writing-slope-intercept-equations-quiz"/>
    <s v="Quiz"/>
  </r>
  <r>
    <x v="2"/>
    <x v="6"/>
    <n v="5"/>
    <n v="3"/>
    <n v="5"/>
    <n v="60"/>
    <n v="1"/>
    <s v="Jul 19th; 9:19AM"/>
    <s v="Aug 31st; 11:59PM"/>
    <s v="https://www.khanacademy.org/math/algebra/two-var-linear-equations#writing-slope-intercept-equations-quiz"/>
    <s v="Quiz"/>
  </r>
  <r>
    <x v="2"/>
    <x v="7"/>
    <n v="5"/>
    <n v="5"/>
    <n v="5"/>
    <n v="100"/>
    <n v="3"/>
    <s v="Aug 6th; 2:01PM"/>
    <s v="Aug 31st; 11:59PM"/>
    <s v="https://www.khanacademy.org/math/algebra/two-var-linear-equations#writing-slope-intercept-equations-quiz"/>
    <s v="Quiz"/>
  </r>
  <r>
    <x v="2"/>
    <x v="8"/>
    <n v="4"/>
    <n v="4"/>
    <n v="5"/>
    <n v="80"/>
    <n v="2"/>
    <s v="Aug 21st; 12:30PM"/>
    <s v="Aug 31st; 11:59PM"/>
    <s v="https://www.khanacademy.org/math/algebra/two-var-linear-equations#writing-slope-intercept-equations-quiz"/>
    <s v="Quiz"/>
  </r>
  <r>
    <x v="2"/>
    <x v="9"/>
    <n v="3"/>
    <n v="5"/>
    <n v="5"/>
    <n v="100"/>
    <n v="1"/>
    <s v="Jul 19th; 9:29AM"/>
    <s v="Aug 31st; 11:59PM"/>
    <s v="https://www.khanacademy.org/math/algebra/two-var-linear-equations#writing-slope-intercept-equations-quiz"/>
    <s v="Quiz"/>
  </r>
  <r>
    <x v="2"/>
    <x v="10"/>
    <n v="5"/>
    <n v="4"/>
    <n v="5"/>
    <n v="80"/>
    <n v="9"/>
    <s v="Aug 15th; 1:38AM"/>
    <s v="Aug 31st; 11:59PM"/>
    <s v="https://www.khanacademy.org/math/algebra/two-var-linear-equations#writing-slope-intercept-equations-quiz"/>
    <s v="Quiz"/>
  </r>
  <r>
    <x v="2"/>
    <x v="11"/>
    <n v="4"/>
    <n v="5"/>
    <n v="5"/>
    <n v="100"/>
    <n v="2"/>
    <s v="Jul 19th; 9:29AM"/>
    <s v="Aug 31st; 11:59PM"/>
    <s v="https://www.khanacademy.org/math/algebra/two-var-linear-equations#writing-slope-intercept-equations-quiz"/>
    <s v="Quiz"/>
  </r>
  <r>
    <x v="2"/>
    <x v="12"/>
    <n v="5"/>
    <n v="5"/>
    <n v="5"/>
    <n v="100"/>
    <n v="6"/>
    <s v="Aug 2nd; 8:14PM"/>
    <s v="Aug 31st; 11:59PM"/>
    <s v="https://www.khanacademy.org/math/algebra/two-var-linear-equations#writing-slope-intercept-equations-quiz"/>
    <s v="Quiz"/>
  </r>
  <r>
    <x v="2"/>
    <x v="13"/>
    <n v="3"/>
    <n v="5"/>
    <n v="5"/>
    <n v="100"/>
    <n v="2"/>
    <s v="Aug 14th; 6:58PM"/>
    <s v="Aug 31st; 11:59PM"/>
    <s v="https://www.khanacademy.org/math/algebra/two-var-linear-equations#writing-slope-intercept-equations-quiz"/>
    <s v="Quiz"/>
  </r>
  <r>
    <x v="2"/>
    <x v="14"/>
    <m/>
    <n v="5"/>
    <n v="5"/>
    <n v="100"/>
    <n v="0"/>
    <s v="Aug 18th; 4:59PM"/>
    <s v="Aug 31st; 11:59PM"/>
    <s v="https://www.khanacademy.org/math/algebra/two-var-linear-equations#writing-slope-intercept-equations-quiz"/>
    <s v="Quiz"/>
  </r>
  <r>
    <x v="2"/>
    <x v="15"/>
    <n v="5"/>
    <n v="4"/>
    <n v="5"/>
    <n v="80"/>
    <n v="1"/>
    <s v="Jul 19th; 9:19AM"/>
    <s v="Aug 31st; 11:59PM"/>
    <s v="https://www.khanacademy.org/math/algebra/two-var-linear-equations#writing-slope-intercept-equations-quiz"/>
    <s v="Quiz"/>
  </r>
  <r>
    <x v="2"/>
    <x v="16"/>
    <n v="4"/>
    <n v="5"/>
    <n v="5"/>
    <n v="100"/>
    <n v="1"/>
    <s v="Jul 19th; 9:24AM"/>
    <s v="Aug 31st; 11:59PM"/>
    <s v="https://www.khanacademy.org/math/algebra/two-var-linear-equations#writing-slope-intercept-equations-quiz"/>
    <s v="Quiz"/>
  </r>
  <r>
    <x v="2"/>
    <x v="17"/>
    <n v="5"/>
    <n v="5"/>
    <n v="5"/>
    <n v="100"/>
    <n v="2"/>
    <s v="Aug 6th; 2:01PM"/>
    <s v="Aug 31st; 11:59PM"/>
    <s v="https://www.khanacademy.org/math/algebra/two-var-linear-equations#writing-slope-intercept-equations-quiz"/>
    <s v="Quiz"/>
  </r>
  <r>
    <x v="3"/>
    <x v="0"/>
    <n v="5"/>
    <n v="15"/>
    <n v="17"/>
    <n v="88.235294117647058"/>
    <n v="2"/>
    <s v="Aug 6th; 2:01PM"/>
    <s v="Aug 31st; 11:59PM"/>
    <s v="https://www.khanacademy.org/math/algebra/two-var-linear-equations#two-var-linear-equations-unit-test"/>
    <s v="Unit Test"/>
  </r>
  <r>
    <x v="3"/>
    <x v="1"/>
    <n v="5"/>
    <n v="14"/>
    <n v="17"/>
    <n v="82.35294117647058"/>
    <n v="7"/>
    <s v="Aug 15th; 1:24AM"/>
    <s v="Aug 31st; 11:59PM"/>
    <s v="https://www.khanacademy.org/math/algebra/two-var-linear-equations#two-var-linear-equations-unit-test"/>
    <s v="Unit Test"/>
  </r>
  <r>
    <x v="3"/>
    <x v="2"/>
    <n v="5"/>
    <n v="16"/>
    <n v="17"/>
    <n v="94.117647058823522"/>
    <n v="3"/>
    <s v="Aug 2nd; 8:14PM"/>
    <s v="Aug 31st; 11:59PM"/>
    <s v="https://www.khanacademy.org/math/algebra/two-var-linear-equations#two-var-linear-equations-unit-test"/>
    <s v="Unit Test"/>
  </r>
  <r>
    <x v="3"/>
    <x v="3"/>
    <n v="5"/>
    <n v="15"/>
    <n v="17"/>
    <n v="88.235294117647058"/>
    <n v="1"/>
    <s v="Jul 19th; 9:19AM"/>
    <s v="Aug 31st; 11:59PM"/>
    <s v="https://www.khanacademy.org/math/algebra/two-var-linear-equations#two-var-linear-equations-unit-test"/>
    <s v="Unit Test"/>
  </r>
  <r>
    <x v="3"/>
    <x v="4"/>
    <n v="5"/>
    <n v="14"/>
    <n v="17"/>
    <n v="82.35294117647058"/>
    <n v="2"/>
    <s v="Jul 26th; 2:07PM"/>
    <s v="Aug 31st; 11:59PM"/>
    <s v="https://www.khanacademy.org/math/algebra/two-var-linear-equations#two-var-linear-equations-unit-test"/>
    <s v="Unit Test"/>
  </r>
  <r>
    <x v="3"/>
    <x v="5"/>
    <n v="3"/>
    <n v="11"/>
    <n v="17"/>
    <n v="64.705882352941174"/>
    <n v="1"/>
    <s v="Jul 19th; 9:29AM"/>
    <s v="Aug 31st; 11:59PM"/>
    <s v="https://www.khanacademy.org/math/algebra/two-var-linear-equations#two-var-linear-equations-unit-test"/>
    <s v="Unit Test"/>
  </r>
  <r>
    <x v="3"/>
    <x v="6"/>
    <m/>
    <n v="8"/>
    <n v="17"/>
    <n v="47.058823529411761"/>
    <n v="0"/>
    <s v="Aug 11th; 4:02PM"/>
    <s v="Aug 31st; 11:59PM"/>
    <s v="https://www.khanacademy.org/math/algebra/two-var-linear-equations#two-var-linear-equations-unit-test"/>
    <s v="Unit Test"/>
  </r>
  <r>
    <x v="3"/>
    <x v="7"/>
    <n v="4"/>
    <n v="15"/>
    <n v="17"/>
    <n v="88.235294117647058"/>
    <n v="2"/>
    <s v="Aug 2nd; 7:22PM"/>
    <s v="Aug 31st; 11:59PM"/>
    <s v="https://www.khanacademy.org/math/algebra/two-var-linear-equations#two-var-linear-equations-unit-test"/>
    <s v="Unit Test"/>
  </r>
  <r>
    <x v="3"/>
    <x v="8"/>
    <n v="5"/>
    <n v="13"/>
    <n v="17"/>
    <n v="76.470588235294116"/>
    <n v="3"/>
    <s v="Aug 2nd; 7:22PM"/>
    <s v="Aug 31st; 11:59PM"/>
    <s v="https://www.khanacademy.org/math/algebra/two-var-linear-equations#two-var-linear-equations-unit-test"/>
    <s v="Unit Test"/>
  </r>
  <r>
    <x v="3"/>
    <x v="9"/>
    <m/>
    <n v="17"/>
    <n v="17"/>
    <n v="100"/>
    <n v="0"/>
    <s v="Aug 8th; 5:02PM"/>
    <s v="Aug 31st; 11:59PM"/>
    <s v="https://www.khanacademy.org/math/algebra/two-var-linear-equations#two-var-linear-equations-unit-test"/>
    <s v="Unit Test"/>
  </r>
  <r>
    <x v="3"/>
    <x v="10"/>
    <n v="1"/>
    <n v="14"/>
    <n v="17"/>
    <n v="82.35294117647058"/>
    <n v="1"/>
    <s v="Aug 14th; 6:58PM"/>
    <s v="Aug 31st; 11:59PM"/>
    <s v="https://www.khanacademy.org/math/algebra/two-var-linear-equations#two-var-linear-equations-unit-test"/>
    <s v="Unit Test"/>
  </r>
  <r>
    <x v="3"/>
    <x v="12"/>
    <n v="4"/>
    <n v="16"/>
    <n v="17"/>
    <n v="94.117647058823522"/>
    <n v="7"/>
    <s v="Aug 13th; 7:31PM"/>
    <s v="Aug 31st; 11:59PM"/>
    <s v="https://www.khanacademy.org/math/algebra/two-var-linear-equations#two-var-linear-equations-unit-test"/>
    <s v="Unit Test"/>
  </r>
  <r>
    <x v="3"/>
    <x v="13"/>
    <n v="5"/>
    <n v="17"/>
    <n v="17"/>
    <n v="100"/>
    <n v="5"/>
    <s v="Aug 2nd; 8:14PM"/>
    <s v="Aug 31st; 11:59PM"/>
    <s v="https://www.khanacademy.org/math/algebra/two-var-linear-equations#two-var-linear-equations-unit-test"/>
    <s v="Unit Test"/>
  </r>
  <r>
    <x v="3"/>
    <x v="14"/>
    <n v="4"/>
    <n v="15"/>
    <n v="17"/>
    <n v="88.235294117647058"/>
    <n v="1"/>
    <s v="Jul 19th; 9:24AM"/>
    <s v="Aug 31st; 11:59PM"/>
    <s v="https://www.khanacademy.org/math/algebra/two-var-linear-equations#two-var-linear-equations-unit-test"/>
    <s v="Unit Test"/>
  </r>
  <r>
    <x v="3"/>
    <x v="15"/>
    <m/>
    <n v="14"/>
    <n v="17"/>
    <n v="82.35294117647058"/>
    <n v="0"/>
    <s v="Aug 23rd; 8:11PM"/>
    <s v="Aug 31st; 11:59PM"/>
    <s v="https://www.khanacademy.org/math/algebra/two-var-linear-equations#two-var-linear-equations-unit-test"/>
    <s v="Unit Test"/>
  </r>
  <r>
    <x v="3"/>
    <x v="16"/>
    <n v="5"/>
    <n v="17"/>
    <n v="17"/>
    <n v="100"/>
    <n v="3"/>
    <s v="Aug 14th; 6:50PM"/>
    <s v="Aug 31st; 11:59PM"/>
    <s v="https://www.khanacademy.org/math/algebra/two-var-linear-equations#two-var-linear-equations-unit-test"/>
    <s v="Unit Test"/>
  </r>
  <r>
    <x v="3"/>
    <x v="17"/>
    <n v="5"/>
    <n v="15"/>
    <n v="17"/>
    <n v="88.235294117647058"/>
    <n v="1"/>
    <s v="Jul 26th; 2:07PM"/>
    <s v="Aug 31st; 11:59PM"/>
    <s v="https://www.khanacademy.org/math/algebra/two-var-linear-equations#two-var-linear-equations-unit-test"/>
    <s v="Unit Test"/>
  </r>
  <r>
    <x v="4"/>
    <x v="0"/>
    <n v="5"/>
    <n v="4"/>
    <n v="5"/>
    <n v="80"/>
    <n v="3"/>
    <s v="Aug 2nd; 7:22PM"/>
    <s v="Aug 31st; 11:59PM"/>
    <s v="https://www.khanacademy.org/math/algebra/two-var-linear-equations#forms-of-two-var-linear-equations-quiz"/>
    <s v="Quiz"/>
  </r>
  <r>
    <x v="4"/>
    <x v="1"/>
    <m/>
    <n v="5"/>
    <n v="5"/>
    <n v="100"/>
    <n v="0"/>
    <s v="Jul 19th; 12:19PM"/>
    <s v="Aug 31st; 11:59PM"/>
    <s v="https://www.khanacademy.org/math/algebra/two-var-linear-equations#forms-of-two-var-linear-equations-quiz"/>
    <s v="Quiz"/>
  </r>
  <r>
    <x v="4"/>
    <x v="2"/>
    <n v="5"/>
    <n v="5"/>
    <n v="5"/>
    <n v="100"/>
    <n v="3"/>
    <s v="Aug 14th; 6:58PM"/>
    <s v="Aug 31st; 11:59PM"/>
    <s v="https://www.khanacademy.org/math/algebra/two-var-linear-equations#forms-of-two-var-linear-equations-quiz"/>
    <s v="Quiz"/>
  </r>
  <r>
    <x v="4"/>
    <x v="3"/>
    <n v="4"/>
    <n v="5"/>
    <n v="5"/>
    <n v="100"/>
    <n v="1"/>
    <s v="Jul 19th; 9:09AM"/>
    <s v="Aug 31st; 11:59PM"/>
    <s v="https://www.khanacademy.org/math/algebra/two-var-linear-equations#forms-of-two-var-linear-equations-quiz"/>
    <s v="Quiz"/>
  </r>
  <r>
    <x v="4"/>
    <x v="4"/>
    <n v="4"/>
    <n v="5"/>
    <n v="5"/>
    <n v="100"/>
    <n v="2"/>
    <s v="Aug 23rd; 11:36AM"/>
    <s v="Aug 31st; 11:59PM"/>
    <s v="https://www.khanacademy.org/math/algebra/two-var-linear-equations#forms-of-two-var-linear-equations-quiz"/>
    <s v="Quiz"/>
  </r>
  <r>
    <x v="4"/>
    <x v="5"/>
    <n v="4"/>
    <n v="4"/>
    <n v="5"/>
    <n v="80"/>
    <n v="1"/>
    <s v="Aug 21st; 12:30PM"/>
    <s v="Aug 31st; 11:59PM"/>
    <s v="https://www.khanacademy.org/math/algebra/two-var-linear-equations#forms-of-two-var-linear-equations-quiz"/>
    <s v="Quiz"/>
  </r>
  <r>
    <x v="4"/>
    <x v="6"/>
    <n v="4"/>
    <n v="4"/>
    <n v="5"/>
    <n v="80"/>
    <n v="2"/>
    <s v="Jul 19th; 9:29AM"/>
    <s v="Aug 31st; 11:59PM"/>
    <s v="https://www.khanacademy.org/math/algebra/two-var-linear-equations#forms-of-two-var-linear-equations-quiz"/>
    <s v="Quiz"/>
  </r>
  <r>
    <x v="4"/>
    <x v="7"/>
    <n v="5"/>
    <n v="5"/>
    <n v="5"/>
    <n v="100"/>
    <n v="1"/>
    <s v="Jul 26th; 2:07PM"/>
    <s v="Aug 31st; 11:59PM"/>
    <s v="https://www.khanacademy.org/math/algebra/two-var-linear-equations#forms-of-two-var-linear-equations-quiz"/>
    <s v="Quiz"/>
  </r>
  <r>
    <x v="4"/>
    <x v="8"/>
    <n v="4"/>
    <n v="5"/>
    <n v="5"/>
    <n v="100"/>
    <n v="1"/>
    <s v="Aug 23rd; 11:36AM"/>
    <s v="Aug 31st; 11:59PM"/>
    <s v="https://www.khanacademy.org/math/algebra/two-var-linear-equations#forms-of-two-var-linear-equations-quiz"/>
    <s v="Quiz"/>
  </r>
  <r>
    <x v="4"/>
    <x v="9"/>
    <n v="4"/>
    <n v="5"/>
    <n v="5"/>
    <n v="100"/>
    <n v="1"/>
    <s v="Aug 21st; 12:30PM"/>
    <s v="Aug 31st; 11:59PM"/>
    <s v="https://www.khanacademy.org/math/algebra/two-var-linear-equations#forms-of-two-var-linear-equations-quiz"/>
    <s v="Quiz"/>
  </r>
  <r>
    <x v="4"/>
    <x v="10"/>
    <n v="5"/>
    <n v="4"/>
    <n v="5"/>
    <n v="80"/>
    <n v="6"/>
    <s v="Aug 15th; 4:18PM"/>
    <s v="Aug 31st; 11:59PM"/>
    <s v="https://www.khanacademy.org/math/algebra/two-var-linear-equations#forms-of-two-var-linear-equations-quiz"/>
    <s v="Quiz"/>
  </r>
  <r>
    <x v="4"/>
    <x v="12"/>
    <n v="5"/>
    <n v="5"/>
    <n v="5"/>
    <n v="100"/>
    <n v="10"/>
    <s v="Aug 7th; 9:02PM"/>
    <s v="Aug 31st; 11:59PM"/>
    <s v="https://www.khanacademy.org/math/algebra/two-var-linear-equations#forms-of-two-var-linear-equations-quiz"/>
    <s v="Quiz"/>
  </r>
  <r>
    <x v="4"/>
    <x v="13"/>
    <n v="4"/>
    <n v="5"/>
    <n v="5"/>
    <n v="100"/>
    <n v="1"/>
    <s v="Aug 2nd; 7:22PM"/>
    <s v="Aug 31st; 11:59PM"/>
    <s v="https://www.khanacademy.org/math/algebra/two-var-linear-equations#forms-of-two-var-linear-equations-quiz"/>
    <s v="Quiz"/>
  </r>
  <r>
    <x v="4"/>
    <x v="14"/>
    <n v="3"/>
    <n v="4"/>
    <n v="5"/>
    <n v="80"/>
    <n v="1"/>
    <s v="Jul 19th; 9:29AM"/>
    <s v="Aug 31st; 11:59PM"/>
    <s v="https://www.khanacademy.org/math/algebra/two-var-linear-equations#forms-of-two-var-linear-equations-quiz"/>
    <s v="Quiz"/>
  </r>
  <r>
    <x v="4"/>
    <x v="15"/>
    <n v="3"/>
    <n v="3"/>
    <n v="5"/>
    <n v="60"/>
    <n v="1"/>
    <s v="Jul 19th; 9:29AM"/>
    <s v="Aug 31st; 11:59PM"/>
    <s v="https://www.khanacademy.org/math/algebra/two-var-linear-equations#forms-of-two-var-linear-equations-quiz"/>
    <s v="Quiz"/>
  </r>
  <r>
    <x v="4"/>
    <x v="16"/>
    <n v="5"/>
    <n v="5"/>
    <n v="5"/>
    <n v="100"/>
    <n v="4"/>
    <s v="Aug 6th; 2:01PM"/>
    <s v="Aug 31st; 11:59PM"/>
    <s v="https://www.khanacademy.org/math/algebra/two-var-linear-equations#forms-of-two-var-linear-equations-quiz"/>
    <s v="Quiz"/>
  </r>
  <r>
    <x v="4"/>
    <x v="17"/>
    <n v="4"/>
    <n v="5"/>
    <n v="5"/>
    <n v="100"/>
    <n v="2"/>
    <s v="Aug 14th; 6:58PM"/>
    <s v="Aug 31st; 11:59PM"/>
    <s v="https://www.khanacademy.org/math/algebra/two-var-linear-equations#forms-of-two-var-linear-equations-quiz"/>
    <s v="Quiz"/>
  </r>
  <r>
    <x v="5"/>
    <x v="0"/>
    <n v="5"/>
    <n v="6"/>
    <n v="6"/>
    <n v="100"/>
    <n v="3"/>
    <s v="Jul 19th; 9:19AM"/>
    <s v="Aug 31st; 11:59PM"/>
    <s v="https://www.khanacademy.org/math/algebra/algebra-functions#functions-and-equations-quiz"/>
    <s v="Quiz"/>
  </r>
  <r>
    <x v="5"/>
    <x v="1"/>
    <n v="5"/>
    <n v="6"/>
    <n v="6"/>
    <n v="100"/>
    <n v="5"/>
    <s v="Jul 19th; 9:29AM"/>
    <s v="Aug 31st; 11:59PM"/>
    <s v="https://www.khanacademy.org/math/algebra/algebra-functions#functions-and-equations-quiz"/>
    <s v="Quiz"/>
  </r>
  <r>
    <x v="5"/>
    <x v="2"/>
    <n v="5"/>
    <n v="6"/>
    <n v="6"/>
    <n v="100"/>
    <n v="2"/>
    <s v="Jul 19th; 9:19AM"/>
    <s v="Aug 31st; 11:59PM"/>
    <s v="https://www.khanacademy.org/math/algebra/algebra-functions#functions-and-equations-quiz"/>
    <s v="Quiz"/>
  </r>
  <r>
    <x v="5"/>
    <x v="3"/>
    <n v="4"/>
    <n v="5"/>
    <n v="6"/>
    <n v="83.333333333333343"/>
    <n v="1"/>
    <s v="Jul 10th; 11:17AM"/>
    <s v="Aug 31st; 11:59PM"/>
    <s v="https://www.khanacademy.org/math/algebra/algebra-functions#functions-and-equations-quiz"/>
    <s v="Quiz"/>
  </r>
  <r>
    <x v="5"/>
    <x v="4"/>
    <n v="4"/>
    <n v="5"/>
    <n v="6"/>
    <n v="83.333333333333343"/>
    <n v="2"/>
    <s v="Jul 19th; 9:09AM"/>
    <s v="Aug 31st; 11:59PM"/>
    <s v="https://www.khanacademy.org/math/algebra/algebra-functions#functions-and-equations-quiz"/>
    <s v="Quiz"/>
  </r>
  <r>
    <x v="5"/>
    <x v="5"/>
    <n v="5"/>
    <n v="6"/>
    <n v="6"/>
    <n v="100"/>
    <n v="2"/>
    <s v="Jul 19th; 9:19AM"/>
    <s v="Aug 31st; 11:59PM"/>
    <s v="https://www.khanacademy.org/math/algebra/algebra-functions#functions-and-equations-quiz"/>
    <s v="Quiz"/>
  </r>
  <r>
    <x v="5"/>
    <x v="6"/>
    <n v="4"/>
    <n v="3"/>
    <n v="6"/>
    <n v="50"/>
    <n v="2"/>
    <s v="Jul 19th; 9:09AM"/>
    <s v="Aug 31st; 11:59PM"/>
    <s v="https://www.khanacademy.org/math/algebra/algebra-functions#functions-and-equations-quiz"/>
    <s v="Quiz"/>
  </r>
  <r>
    <x v="5"/>
    <x v="7"/>
    <n v="5"/>
    <n v="6"/>
    <n v="6"/>
    <n v="100"/>
    <n v="6"/>
    <s v="Aug 21st; 12:30PM"/>
    <s v="Aug 31st; 11:59PM"/>
    <s v="https://www.khanacademy.org/math/algebra/algebra-functions#functions-and-equations-quiz"/>
    <s v="Quiz"/>
  </r>
  <r>
    <x v="5"/>
    <x v="8"/>
    <n v="5"/>
    <n v="6"/>
    <n v="6"/>
    <n v="100"/>
    <n v="2"/>
    <s v="Jul 19th; 9:19AM"/>
    <s v="Aug 31st; 11:59PM"/>
    <s v="https://www.khanacademy.org/math/algebra/algebra-functions#functions-and-equations-quiz"/>
    <s v="Quiz"/>
  </r>
  <r>
    <x v="5"/>
    <x v="9"/>
    <n v="4"/>
    <n v="4"/>
    <n v="6"/>
    <n v="66.666666666666657"/>
    <n v="1"/>
    <s v="Jul 10th; 11:17AM"/>
    <s v="Aug 31st; 11:59PM"/>
    <s v="https://www.khanacademy.org/math/algebra/algebra-functions#functions-and-equations-quiz"/>
    <s v="Quiz"/>
  </r>
  <r>
    <x v="5"/>
    <x v="10"/>
    <n v="5"/>
    <n v="5"/>
    <n v="6"/>
    <n v="83.333333333333343"/>
    <n v="22"/>
    <s v="Aug 15th; 5:33PM"/>
    <s v="Aug 31st; 11:59PM"/>
    <s v="https://www.khanacademy.org/math/algebra/algebra-functions#functions-and-equations-quiz"/>
    <s v="Quiz"/>
  </r>
  <r>
    <x v="5"/>
    <x v="12"/>
    <n v="5"/>
    <n v="6"/>
    <n v="6"/>
    <n v="100"/>
    <n v="5"/>
    <s v="Jul 19th; 9:29AM"/>
    <s v="Aug 31st; 11:59PM"/>
    <s v="https://www.khanacademy.org/math/algebra/algebra-functions#functions-and-equations-quiz"/>
    <s v="Quiz"/>
  </r>
  <r>
    <x v="5"/>
    <x v="13"/>
    <n v="5"/>
    <n v="6"/>
    <n v="6"/>
    <n v="100"/>
    <n v="7"/>
    <s v="Aug 23rd; 11:36AM"/>
    <s v="Aug 31st; 11:59PM"/>
    <s v="https://www.khanacademy.org/math/algebra/algebra-functions#functions-and-equations-quiz"/>
    <s v="Quiz"/>
  </r>
  <r>
    <x v="5"/>
    <x v="14"/>
    <n v="4"/>
    <n v="5"/>
    <n v="6"/>
    <n v="83.333333333333343"/>
    <n v="2"/>
    <s v="Jul 19th; 9:09AM"/>
    <s v="Aug 31st; 11:59PM"/>
    <s v="https://www.khanacademy.org/math/algebra/algebra-functions#functions-and-equations-quiz"/>
    <s v="Quiz"/>
  </r>
  <r>
    <x v="5"/>
    <x v="15"/>
    <n v="4"/>
    <n v="4"/>
    <n v="6"/>
    <n v="66.666666666666657"/>
    <n v="1"/>
    <s v="Jul 10th; 11:17AM"/>
    <s v="Aug 31st; 11:59PM"/>
    <s v="https://www.khanacademy.org/math/algebra/algebra-functions#functions-and-equations-quiz"/>
    <s v="Quiz"/>
  </r>
  <r>
    <x v="5"/>
    <x v="16"/>
    <n v="5"/>
    <n v="6"/>
    <n v="6"/>
    <n v="100"/>
    <n v="3"/>
    <s v="Jul 19th; 9:19AM"/>
    <s v="Aug 31st; 11:59PM"/>
    <s v="https://www.khanacademy.org/math/algebra/algebra-functions#functions-and-equations-quiz"/>
    <s v="Quiz"/>
  </r>
  <r>
    <x v="5"/>
    <x v="17"/>
    <n v="5"/>
    <n v="6"/>
    <n v="6"/>
    <n v="100"/>
    <n v="4"/>
    <s v="Aug 2nd; 7:22PM"/>
    <s v="Aug 31st; 11:59PM"/>
    <s v="https://www.khanacademy.org/math/algebra/algebra-functions#functions-and-equations-quiz"/>
    <s v="Quiz"/>
  </r>
  <r>
    <x v="6"/>
    <x v="0"/>
    <n v="4"/>
    <n v="4"/>
    <n v="6"/>
    <n v="66.666666666666657"/>
    <n v="2"/>
    <s v="Jul 19th; 9:29AM"/>
    <s v="Aug 31st; 11:59PM"/>
    <s v="https://www.khanacademy.org/math/algebra/algebra-functions#recognizing-functions-ddp-quiz"/>
    <s v="Quiz"/>
  </r>
  <r>
    <x v="6"/>
    <x v="1"/>
    <n v="5"/>
    <n v="6"/>
    <n v="6"/>
    <n v="100"/>
    <n v="14"/>
    <s v="Aug 15th; 4:08PM"/>
    <s v="Aug 31st; 11:59PM"/>
    <s v="https://www.khanacademy.org/math/algebra/algebra-functions#recognizing-functions-ddp-quiz"/>
    <s v="Quiz"/>
  </r>
  <r>
    <x v="6"/>
    <x v="2"/>
    <n v="4"/>
    <n v="5"/>
    <n v="6"/>
    <n v="83.333333333333343"/>
    <n v="4"/>
    <s v="Aug 23rd; 11:36AM"/>
    <s v="Aug 31st; 11:59PM"/>
    <s v="https://www.khanacademy.org/math/algebra/algebra-functions#recognizing-functions-ddp-quiz"/>
    <s v="Quiz"/>
  </r>
  <r>
    <x v="6"/>
    <x v="3"/>
    <n v="5"/>
    <n v="1"/>
    <n v="6"/>
    <n v="16.666666666666664"/>
    <n v="2"/>
    <s v="Jul 19th; 9:19AM"/>
    <s v="Aug 31st; 11:59PM"/>
    <s v="https://www.khanacademy.org/math/algebra/algebra-functions#recognizing-functions-ddp-quiz"/>
    <s v="Quiz"/>
  </r>
  <r>
    <x v="6"/>
    <x v="4"/>
    <n v="5"/>
    <n v="5"/>
    <n v="6"/>
    <n v="83.333333333333343"/>
    <n v="9"/>
    <s v="Aug 7th; 8:23PM"/>
    <s v="Aug 31st; 11:59PM"/>
    <s v="https://www.khanacademy.org/math/algebra/algebra-functions#recognizing-functions-ddp-quiz"/>
    <s v="Quiz"/>
  </r>
  <r>
    <x v="6"/>
    <x v="5"/>
    <n v="4"/>
    <n v="4"/>
    <n v="6"/>
    <n v="66.666666666666657"/>
    <n v="1"/>
    <s v="Jul 19th; 9:09AM"/>
    <s v="Aug 31st; 11:59PM"/>
    <s v="https://www.khanacademy.org/math/algebra/algebra-functions#recognizing-functions-ddp-quiz"/>
    <s v="Quiz"/>
  </r>
  <r>
    <x v="6"/>
    <x v="6"/>
    <n v="5"/>
    <n v="3"/>
    <n v="6"/>
    <n v="50"/>
    <n v="1"/>
    <s v="Jul 19th; 9:19AM"/>
    <s v="Aug 31st; 11:59PM"/>
    <s v="https://www.khanacademy.org/math/algebra/algebra-functions#recognizing-functions-ddp-quiz"/>
    <s v="Quiz"/>
  </r>
  <r>
    <x v="6"/>
    <x v="7"/>
    <n v="5"/>
    <n v="3"/>
    <n v="6"/>
    <n v="50"/>
    <n v="1"/>
    <s v="Aug 6th; 2:01PM"/>
    <s v="Aug 31st; 11:59PM"/>
    <s v="https://www.khanacademy.org/math/algebra/algebra-functions#recognizing-functions-ddp-quiz"/>
    <s v="Quiz"/>
  </r>
  <r>
    <x v="6"/>
    <x v="8"/>
    <n v="4"/>
    <n v="4"/>
    <n v="6"/>
    <n v="66.666666666666657"/>
    <n v="2"/>
    <s v="Jul 19th; 9:29AM"/>
    <s v="Aug 31st; 11:59PM"/>
    <s v="https://www.khanacademy.org/math/algebra/algebra-functions#recognizing-functions-ddp-quiz"/>
    <s v="Quiz"/>
  </r>
  <r>
    <x v="6"/>
    <x v="9"/>
    <n v="4"/>
    <n v="6"/>
    <n v="6"/>
    <n v="100"/>
    <n v="1"/>
    <s v="Jul 19th; 9:09AM"/>
    <s v="Aug 31st; 11:59PM"/>
    <s v="https://www.khanacademy.org/math/algebra/algebra-functions#recognizing-functions-ddp-quiz"/>
    <s v="Quiz"/>
  </r>
  <r>
    <x v="6"/>
    <x v="10"/>
    <n v="5"/>
    <n v="4"/>
    <n v="6"/>
    <n v="66.666666666666657"/>
    <n v="13"/>
    <s v="Aug 15th; 5:51PM"/>
    <s v="Aug 31st; 11:59PM"/>
    <s v="https://www.khanacademy.org/math/algebra/algebra-functions#recognizing-functions-ddp-quiz"/>
    <s v="Quiz"/>
  </r>
  <r>
    <x v="6"/>
    <x v="12"/>
    <n v="5"/>
    <n v="5"/>
    <n v="6"/>
    <n v="83.333333333333343"/>
    <n v="7"/>
    <s v="Aug 15th; 1:38AM"/>
    <s v="Aug 31st; 11:59PM"/>
    <s v="https://www.khanacademy.org/math/algebra/algebra-functions#recognizing-functions-ddp-quiz"/>
    <s v="Quiz"/>
  </r>
  <r>
    <x v="6"/>
    <x v="13"/>
    <n v="5"/>
    <n v="6"/>
    <n v="6"/>
    <n v="100"/>
    <n v="12"/>
    <s v="Aug 7th; 8:23PM"/>
    <s v="Aug 31st; 11:59PM"/>
    <s v="https://www.khanacademy.org/math/algebra/algebra-functions#recognizing-functions-ddp-quiz"/>
    <s v="Quiz"/>
  </r>
  <r>
    <x v="6"/>
    <x v="14"/>
    <n v="5"/>
    <n v="6"/>
    <n v="6"/>
    <n v="100"/>
    <n v="1"/>
    <s v="Jul 19th; 9:19AM"/>
    <s v="Aug 31st; 11:59PM"/>
    <s v="https://www.khanacademy.org/math/algebra/algebra-functions#recognizing-functions-ddp-quiz"/>
    <s v="Quiz"/>
  </r>
  <r>
    <x v="6"/>
    <x v="15"/>
    <n v="4"/>
    <n v="5"/>
    <n v="6"/>
    <n v="83.333333333333343"/>
    <n v="1"/>
    <s v="Jul 19th; 9:09AM"/>
    <s v="Aug 31st; 11:59PM"/>
    <s v="https://www.khanacademy.org/math/algebra/algebra-functions#recognizing-functions-ddp-quiz"/>
    <s v="Quiz"/>
  </r>
  <r>
    <x v="6"/>
    <x v="16"/>
    <n v="5"/>
    <n v="6"/>
    <n v="6"/>
    <n v="100"/>
    <n v="11"/>
    <s v="Aug 15th; 1:38AM"/>
    <s v="Aug 31st; 11:59PM"/>
    <s v="https://www.khanacademy.org/math/algebra/algebra-functions#recognizing-functions-ddp-quiz"/>
    <s v="Quiz"/>
  </r>
  <r>
    <x v="6"/>
    <x v="17"/>
    <n v="4"/>
    <n v="6"/>
    <n v="6"/>
    <n v="100"/>
    <n v="2"/>
    <s v="Jul 19th; 9:29AM"/>
    <s v="Aug 31st; 11:59PM"/>
    <s v="https://www.khanacademy.org/math/algebra/algebra-functions#recognizing-functions-ddp-quiz"/>
    <s v="Quiz"/>
  </r>
  <r>
    <x v="7"/>
    <x v="0"/>
    <n v="5"/>
    <n v="4"/>
    <n v="5"/>
    <n v="80"/>
    <n v="4"/>
    <s v="Jul 26th; 2:07PM"/>
    <s v="Aug 31st; 11:59PM"/>
    <s v="https://www.khanacademy.org/math/algebra/algebra-functions#interpreting-features-of-graphs-quiz"/>
    <s v="Quiz"/>
  </r>
  <r>
    <x v="7"/>
    <x v="1"/>
    <n v="4"/>
    <n v="5"/>
    <n v="5"/>
    <n v="100"/>
    <n v="3"/>
    <s v="Aug 7th; 8:40PM"/>
    <s v="Aug 31st; 11:59PM"/>
    <s v="https://www.khanacademy.org/math/algebra/algebra-functions#interpreting-features-of-graphs-quiz"/>
    <s v="Quiz"/>
  </r>
  <r>
    <x v="7"/>
    <x v="2"/>
    <n v="5"/>
    <n v="5"/>
    <n v="5"/>
    <n v="100"/>
    <n v="2"/>
    <s v="Aug 6th; 2:01PM"/>
    <s v="Aug 31st; 11:59PM"/>
    <s v="https://www.khanacademy.org/math/algebra/algebra-functions#interpreting-features-of-graphs-quiz"/>
    <s v="Quiz"/>
  </r>
  <r>
    <x v="7"/>
    <x v="3"/>
    <m/>
    <n v="1"/>
    <n v="5"/>
    <n v="20"/>
    <n v="0"/>
    <s v="Aug 14th; 11:40AM"/>
    <s v="Aug 31st; 11:59PM"/>
    <s v="https://www.khanacademy.org/math/algebra/algebra-functions#interpreting-features-of-graphs-quiz"/>
    <s v="Quiz"/>
  </r>
  <r>
    <x v="7"/>
    <x v="4"/>
    <n v="5"/>
    <n v="5"/>
    <n v="5"/>
    <n v="100"/>
    <n v="6"/>
    <s v="Aug 14th; 6:58PM"/>
    <s v="Aug 31st; 11:59PM"/>
    <s v="https://www.khanacademy.org/math/algebra/algebra-functions#interpreting-features-of-graphs-quiz"/>
    <s v="Quiz"/>
  </r>
  <r>
    <x v="7"/>
    <x v="5"/>
    <m/>
    <n v="3"/>
    <n v="5"/>
    <n v="60"/>
    <n v="0"/>
    <s v="Aug 21st; 5:42PM"/>
    <s v="Aug 31st; 11:59PM"/>
    <s v="https://www.khanacademy.org/math/algebra/algebra-functions#interpreting-features-of-graphs-quiz"/>
    <s v="Quiz"/>
  </r>
  <r>
    <x v="7"/>
    <x v="6"/>
    <m/>
    <n v="4"/>
    <n v="5"/>
    <n v="80"/>
    <n v="0"/>
    <s v="Aug 27th; 7:12PM"/>
    <s v="Aug 31st; 11:59PM"/>
    <s v="https://www.khanacademy.org/math/algebra/algebra-functions#interpreting-features-of-graphs-quiz"/>
    <s v="Quiz"/>
  </r>
  <r>
    <x v="7"/>
    <x v="7"/>
    <n v="4"/>
    <n v="4"/>
    <n v="5"/>
    <n v="80"/>
    <n v="1"/>
    <s v="Aug 23rd; 11:36AM"/>
    <s v="Aug 31st; 11:59PM"/>
    <s v="https://www.khanacademy.org/math/algebra/algebra-functions#interpreting-features-of-graphs-quiz"/>
    <s v="Quiz"/>
  </r>
  <r>
    <x v="7"/>
    <x v="8"/>
    <m/>
    <n v="4"/>
    <n v="5"/>
    <n v="80"/>
    <n v="0"/>
    <s v="Aug 29th; 4:06PM"/>
    <s v="Aug 31st; 11:59PM"/>
    <s v="https://www.khanacademy.org/math/algebra/algebra-functions#interpreting-features-of-graphs-quiz"/>
    <s v="Quiz"/>
  </r>
  <r>
    <x v="7"/>
    <x v="9"/>
    <n v="5"/>
    <n v="3"/>
    <n v="5"/>
    <n v="60"/>
    <n v="1"/>
    <s v="Jul 19th; 9:19AM"/>
    <s v="Aug 31st; 11:59PM"/>
    <s v="https://www.khanacademy.org/math/algebra/algebra-functions#interpreting-features-of-graphs-quiz"/>
    <s v="Quiz"/>
  </r>
  <r>
    <x v="7"/>
    <x v="10"/>
    <n v="5"/>
    <n v="3"/>
    <n v="5"/>
    <n v="60"/>
    <n v="7"/>
    <s v="Aug 15th; 4:08PM"/>
    <s v="Aug 31st; 11:59PM"/>
    <s v="https://www.khanacademy.org/math/algebra/algebra-functions#interpreting-features-of-graphs-quiz"/>
    <s v="Quiz"/>
  </r>
  <r>
    <x v="7"/>
    <x v="12"/>
    <n v="5"/>
    <n v="4"/>
    <n v="5"/>
    <n v="80"/>
    <n v="5"/>
    <s v="Aug 15th; 1:30AM"/>
    <s v="Aug 31st; 11:59PM"/>
    <s v="https://www.khanacademy.org/math/algebra/algebra-functions#interpreting-features-of-graphs-quiz"/>
    <s v="Quiz"/>
  </r>
  <r>
    <x v="7"/>
    <x v="13"/>
    <n v="4"/>
    <n v="5"/>
    <n v="5"/>
    <n v="100"/>
    <n v="3"/>
    <s v="Aug 15th; 4:18PM"/>
    <s v="Aug 31st; 11:59PM"/>
    <s v="https://www.khanacademy.org/math/algebra/algebra-functions#interpreting-features-of-graphs-quiz"/>
    <s v="Quiz"/>
  </r>
  <r>
    <x v="7"/>
    <x v="14"/>
    <n v="4"/>
    <n v="5"/>
    <n v="5"/>
    <n v="100"/>
    <n v="2"/>
    <s v="Jul 19th; 9:29AM"/>
    <s v="Aug 31st; 11:59PM"/>
    <s v="https://www.khanacademy.org/math/algebra/algebra-functions#interpreting-features-of-graphs-quiz"/>
    <s v="Quiz"/>
  </r>
  <r>
    <x v="7"/>
    <x v="15"/>
    <n v="5"/>
    <n v="5"/>
    <n v="5"/>
    <n v="100"/>
    <n v="1"/>
    <s v="Jul 19th; 9:19AM"/>
    <s v="Aug 31st; 11:59PM"/>
    <s v="https://www.khanacademy.org/math/algebra/algebra-functions#interpreting-features-of-graphs-quiz"/>
    <s v="Quiz"/>
  </r>
  <r>
    <x v="7"/>
    <x v="16"/>
    <m/>
    <n v="5"/>
    <n v="5"/>
    <n v="100"/>
    <n v="0"/>
    <s v="Aug 31st; 4:55PM"/>
    <s v="Aug 31st; 11:59PM"/>
    <s v="https://www.khanacademy.org/math/algebra/algebra-functions#interpreting-features-of-graphs-quiz"/>
    <s v="Quiz"/>
  </r>
  <r>
    <x v="7"/>
    <x v="17"/>
    <n v="5"/>
    <n v="5"/>
    <n v="5"/>
    <n v="100"/>
    <n v="4"/>
    <s v="Jul 26th; 2:07PM"/>
    <s v="Aug 31st; 11:59PM"/>
    <s v="https://www.khanacademy.org/math/algebra/algebra-functions#interpreting-features-of-graphs-quiz"/>
    <s v="Quiz"/>
  </r>
  <r>
    <x v="8"/>
    <x v="0"/>
    <n v="5"/>
    <n v="5"/>
    <n v="5"/>
    <n v="100"/>
    <n v="2"/>
    <s v="Jul 19th; 9:19AM"/>
    <s v="Aug 31st; 11:59PM"/>
    <s v="https://www.khanacademy.org/math/algebra/linear-word-problems#comparing-linear-functions-quiz"/>
    <s v="Quiz"/>
  </r>
  <r>
    <x v="8"/>
    <x v="1"/>
    <n v="5"/>
    <n v="4"/>
    <n v="5"/>
    <n v="80"/>
    <n v="4"/>
    <s v="Aug 6th; 2:01PM"/>
    <s v="Aug 31st; 11:59PM"/>
    <s v="https://www.khanacademy.org/math/algebra/linear-word-problems#comparing-linear-functions-quiz"/>
    <s v="Quiz"/>
  </r>
  <r>
    <x v="8"/>
    <x v="2"/>
    <n v="5"/>
    <n v="4"/>
    <n v="5"/>
    <n v="80"/>
    <n v="3"/>
    <s v="Aug 21st; 12:30PM"/>
    <s v="Aug 31st; 11:59PM"/>
    <s v="https://www.khanacademy.org/math/algebra/linear-word-problems#comparing-linear-functions-quiz"/>
    <s v="Quiz"/>
  </r>
  <r>
    <x v="8"/>
    <x v="3"/>
    <n v="4"/>
    <n v="4"/>
    <n v="5"/>
    <n v="80"/>
    <n v="1"/>
    <s v="Jul 10th; 11:17AM"/>
    <s v="Aug 31st; 11:59PM"/>
    <s v="https://www.khanacademy.org/math/algebra/linear-word-problems#comparing-linear-functions-quiz"/>
    <s v="Quiz"/>
  </r>
  <r>
    <x v="8"/>
    <x v="4"/>
    <n v="4"/>
    <n v="5"/>
    <n v="5"/>
    <n v="100"/>
    <n v="3"/>
    <s v="Aug 21st; 12:30PM"/>
    <s v="Aug 31st; 11:59PM"/>
    <s v="https://www.khanacademy.org/math/algebra/linear-word-problems#comparing-linear-functions-quiz"/>
    <s v="Quiz"/>
  </r>
  <r>
    <x v="8"/>
    <x v="5"/>
    <n v="4"/>
    <n v="4"/>
    <n v="5"/>
    <n v="80"/>
    <n v="1"/>
    <s v="Jul 10th; 11:17AM"/>
    <s v="Aug 31st; 11:59PM"/>
    <s v="https://www.khanacademy.org/math/algebra/linear-word-problems#comparing-linear-functions-quiz"/>
    <s v="Quiz"/>
  </r>
  <r>
    <x v="8"/>
    <x v="6"/>
    <n v="4"/>
    <n v="4"/>
    <n v="5"/>
    <n v="80"/>
    <n v="1"/>
    <s v="Jul 10th; 11:17AM"/>
    <s v="Aug 31st; 11:59PM"/>
    <s v="https://www.khanacademy.org/math/algebra/linear-word-problems#comparing-linear-functions-quiz"/>
    <s v="Quiz"/>
  </r>
  <r>
    <x v="8"/>
    <x v="7"/>
    <n v="4"/>
    <n v="3"/>
    <n v="5"/>
    <n v="60"/>
    <n v="1"/>
    <s v="Jul 19th; 9:09AM"/>
    <s v="Aug 31st; 11:59PM"/>
    <s v="https://www.khanacademy.org/math/algebra/linear-word-problems#comparing-linear-functions-quiz"/>
    <s v="Quiz"/>
  </r>
  <r>
    <x v="8"/>
    <x v="8"/>
    <n v="4"/>
    <n v="3"/>
    <n v="5"/>
    <n v="60"/>
    <n v="1"/>
    <s v="Jul 19th; 9:09AM"/>
    <s v="Aug 31st; 11:59PM"/>
    <s v="https://www.khanacademy.org/math/algebra/linear-word-problems#comparing-linear-functions-quiz"/>
    <s v="Quiz"/>
  </r>
  <r>
    <x v="8"/>
    <x v="9"/>
    <n v="4"/>
    <n v="5"/>
    <n v="5"/>
    <n v="100"/>
    <n v="1"/>
    <s v="Jul 10th; 11:17AM"/>
    <s v="Aug 31st; 11:59PM"/>
    <s v="https://www.khanacademy.org/math/algebra/linear-word-problems#comparing-linear-functions-quiz"/>
    <s v="Quiz"/>
  </r>
  <r>
    <x v="8"/>
    <x v="10"/>
    <n v="5"/>
    <n v="3"/>
    <n v="5"/>
    <n v="60"/>
    <n v="6"/>
    <s v="Aug 21st; 12:30PM"/>
    <s v="Aug 31st; 11:59PM"/>
    <s v="https://www.khanacademy.org/math/algebra/linear-word-problems#comparing-linear-functions-quiz"/>
    <s v="Quiz"/>
  </r>
  <r>
    <x v="8"/>
    <x v="11"/>
    <n v="4"/>
    <n v="3"/>
    <n v="5"/>
    <n v="60"/>
    <n v="1"/>
    <s v="Jul 10th; 11:17AM"/>
    <s v="Aug 31st; 11:59PM"/>
    <s v="https://www.khanacademy.org/math/algebra/linear-word-problems#comparing-linear-functions-quiz"/>
    <s v="Quiz"/>
  </r>
  <r>
    <x v="8"/>
    <x v="12"/>
    <n v="5"/>
    <n v="4"/>
    <n v="5"/>
    <n v="80"/>
    <n v="5"/>
    <s v="Aug 14th; 6:50PM"/>
    <s v="Aug 31st; 11:59PM"/>
    <s v="https://www.khanacademy.org/math/algebra/linear-word-problems#comparing-linear-functions-quiz"/>
    <s v="Quiz"/>
  </r>
  <r>
    <x v="8"/>
    <x v="13"/>
    <n v="4"/>
    <n v="5"/>
    <n v="5"/>
    <n v="100"/>
    <n v="1"/>
    <s v="Jul 10th; 11:17AM"/>
    <s v="Aug 31st; 11:59PM"/>
    <s v="https://www.khanacademy.org/math/algebra/linear-word-problems#comparing-linear-functions-quiz"/>
    <s v="Quiz"/>
  </r>
  <r>
    <x v="8"/>
    <x v="14"/>
    <n v="5"/>
    <n v="4"/>
    <n v="5"/>
    <n v="80"/>
    <n v="3"/>
    <s v="Jul 19th; 9:19AM"/>
    <s v="Aug 31st; 11:59PM"/>
    <s v="https://www.khanacademy.org/math/algebra/linear-word-problems#comparing-linear-functions-quiz"/>
    <s v="Quiz"/>
  </r>
  <r>
    <x v="8"/>
    <x v="15"/>
    <n v="5"/>
    <n v="5"/>
    <n v="5"/>
    <n v="100"/>
    <n v="2"/>
    <s v="Jul 19th; 9:19AM"/>
    <s v="Aug 31st; 11:59PM"/>
    <s v="https://www.khanacademy.org/math/algebra/linear-word-problems#comparing-linear-functions-quiz"/>
    <s v="Quiz"/>
  </r>
  <r>
    <x v="8"/>
    <x v="16"/>
    <n v="4"/>
    <n v="5"/>
    <n v="5"/>
    <n v="100"/>
    <n v="1"/>
    <s v="Jul 10th; 11:17AM"/>
    <s v="Aug 31st; 11:59PM"/>
    <s v="https://www.khanacademy.org/math/algebra/linear-word-problems#comparing-linear-functions-quiz"/>
    <s v="Quiz"/>
  </r>
  <r>
    <x v="8"/>
    <x v="17"/>
    <n v="4"/>
    <n v="5"/>
    <n v="5"/>
    <n v="100"/>
    <n v="1"/>
    <s v="Jul 10th; 11:17AM"/>
    <s v="Aug 31st; 11:59PM"/>
    <s v="https://www.khanacademy.org/math/algebra/linear-word-problems#comparing-linear-functions-quiz"/>
    <s v="Quiz"/>
  </r>
  <r>
    <x v="9"/>
    <x v="0"/>
    <n v="4"/>
    <n v="9"/>
    <n v="9"/>
    <n v="100"/>
    <n v="1"/>
    <s v="Jul 10th; 11:17AM"/>
    <s v="Aug 31st; 11:59PM"/>
    <s v="https://www.khanacademy.org/math/algebra/linear-word-problems#linear-word-problems-unit-test"/>
    <s v="Unit Test"/>
  </r>
  <r>
    <x v="9"/>
    <x v="1"/>
    <m/>
    <n v="7"/>
    <n v="9"/>
    <n v="77.777777777777786"/>
    <n v="0"/>
    <s v="Jul 23rd; 11:24PM"/>
    <s v="Aug 31st; 11:59PM"/>
    <s v="https://www.khanacademy.org/math/algebra/linear-word-problems#linear-word-problems-unit-test"/>
    <s v="Unit Test"/>
  </r>
  <r>
    <x v="9"/>
    <x v="2"/>
    <n v="4"/>
    <n v="7"/>
    <n v="9"/>
    <n v="77.777777777777786"/>
    <n v="2"/>
    <s v="Jul 19th; 9:29AM"/>
    <s v="Aug 31st; 11:59PM"/>
    <s v="https://www.khanacademy.org/math/algebra/linear-word-problems#linear-word-problems-unit-test"/>
    <s v="Unit Test"/>
  </r>
  <r>
    <x v="9"/>
    <x v="3"/>
    <n v="4"/>
    <n v="4"/>
    <n v="9"/>
    <n v="44.444444444444443"/>
    <n v="1"/>
    <s v="Jul 19th; 9:09AM"/>
    <s v="Aug 31st; 11:59PM"/>
    <s v="https://www.khanacademy.org/math/algebra/linear-word-problems#linear-word-problems-unit-test"/>
    <s v="Unit Test"/>
  </r>
  <r>
    <x v="9"/>
    <x v="4"/>
    <n v="5"/>
    <n v="9"/>
    <n v="9"/>
    <n v="100"/>
    <n v="3"/>
    <s v="Aug 23rd; 11:36AM"/>
    <s v="Aug 31st; 11:59PM"/>
    <s v="https://www.khanacademy.org/math/algebra/linear-word-problems#linear-word-problems-unit-test"/>
    <s v="Unit Test"/>
  </r>
  <r>
    <x v="9"/>
    <x v="5"/>
    <n v="4"/>
    <n v="6"/>
    <n v="9"/>
    <n v="66.666666666666657"/>
    <n v="1"/>
    <s v="Jul 19th; 9:09AM"/>
    <s v="Aug 31st; 11:59PM"/>
    <s v="https://www.khanacademy.org/math/algebra/linear-word-problems#linear-word-problems-unit-test"/>
    <s v="Unit Test"/>
  </r>
  <r>
    <x v="9"/>
    <x v="7"/>
    <n v="4"/>
    <n v="4"/>
    <n v="9"/>
    <n v="44.444444444444443"/>
    <n v="1"/>
    <s v="Jul 10th; 11:17AM"/>
    <s v="Aug 31st; 11:59PM"/>
    <s v="https://www.khanacademy.org/math/algebra/linear-word-problems#linear-word-problems-unit-test"/>
    <s v="Unit Test"/>
  </r>
  <r>
    <x v="9"/>
    <x v="8"/>
    <n v="4"/>
    <n v="4"/>
    <n v="9"/>
    <n v="44.444444444444443"/>
    <n v="1"/>
    <s v="Jul 10th; 11:17AM"/>
    <s v="Aug 31st; 11:59PM"/>
    <s v="https://www.khanacademy.org/math/algebra/linear-word-problems#linear-word-problems-unit-test"/>
    <s v="Unit Test"/>
  </r>
  <r>
    <x v="9"/>
    <x v="9"/>
    <n v="4"/>
    <n v="7"/>
    <n v="9"/>
    <n v="77.777777777777786"/>
    <n v="1"/>
    <s v="Jul 19th; 9:09AM"/>
    <s v="Aug 31st; 11:59PM"/>
    <s v="https://www.khanacademy.org/math/algebra/linear-word-problems#linear-word-problems-unit-test"/>
    <s v="Unit Test"/>
  </r>
  <r>
    <x v="9"/>
    <x v="10"/>
    <m/>
    <n v="3"/>
    <n v="9"/>
    <n v="33.333333333333329"/>
    <n v="0"/>
    <s v="Aug 31st; 9:27PM"/>
    <s v="Aug 31st; 11:59PM"/>
    <s v="https://www.khanacademy.org/math/algebra/linear-word-problems#linear-word-problems-unit-test"/>
    <s v="Unit Test"/>
  </r>
  <r>
    <x v="9"/>
    <x v="12"/>
    <n v="5"/>
    <n v="7"/>
    <n v="9"/>
    <n v="77.777777777777786"/>
    <n v="6"/>
    <s v="Aug 2nd; 8:14PM"/>
    <s v="Aug 31st; 11:59PM"/>
    <s v="https://www.khanacademy.org/math/algebra/linear-word-problems#linear-word-problems-unit-test"/>
    <s v="Unit Test"/>
  </r>
  <r>
    <x v="9"/>
    <x v="13"/>
    <n v="5"/>
    <n v="9"/>
    <n v="9"/>
    <n v="100"/>
    <n v="6"/>
    <s v="Aug 23rd; 11:36AM"/>
    <s v="Aug 31st; 11:59PM"/>
    <s v="https://www.khanacademy.org/math/algebra/linear-word-problems#linear-word-problems-unit-test"/>
    <s v="Unit Test"/>
  </r>
  <r>
    <x v="9"/>
    <x v="14"/>
    <n v="3"/>
    <n v="8"/>
    <n v="9"/>
    <n v="88.888888888888886"/>
    <n v="1"/>
    <s v="Jul 19th; 9:29AM"/>
    <s v="Aug 31st; 11:59PM"/>
    <s v="https://www.khanacademy.org/math/algebra/linear-word-problems#linear-word-problems-unit-test"/>
    <s v="Unit Test"/>
  </r>
  <r>
    <x v="9"/>
    <x v="15"/>
    <n v="4"/>
    <n v="5"/>
    <n v="9"/>
    <n v="55.555555555555557"/>
    <n v="1"/>
    <s v="Jul 10th; 11:17AM"/>
    <s v="Aug 31st; 11:59PM"/>
    <s v="https://www.khanacademy.org/math/algebra/linear-word-problems#linear-word-problems-unit-test"/>
    <s v="Unit Test"/>
  </r>
  <r>
    <x v="9"/>
    <x v="16"/>
    <n v="4"/>
    <n v="8"/>
    <n v="9"/>
    <n v="88.888888888888886"/>
    <n v="2"/>
    <s v="Jul 19th; 9:29AM"/>
    <s v="Aug 31st; 11:59PM"/>
    <s v="https://www.khanacademy.org/math/algebra/linear-word-problems#linear-word-problems-unit-test"/>
    <s v="Unit Test"/>
  </r>
  <r>
    <x v="9"/>
    <x v="17"/>
    <n v="5"/>
    <n v="8"/>
    <n v="9"/>
    <n v="88.888888888888886"/>
    <n v="2"/>
    <s v="Jul 19th; 9:19AM"/>
    <s v="Aug 31st; 11:59PM"/>
    <s v="https://www.khanacademy.org/math/algebra/linear-word-problems#linear-word-problems-unit-test"/>
    <s v="Unit Test"/>
  </r>
  <r>
    <x v="10"/>
    <x v="0"/>
    <m/>
    <n v="5"/>
    <n v="5"/>
    <n v="100"/>
    <n v="0"/>
    <s v="Aug 31st; 4:47PM"/>
    <s v="Aug 31st; 11:59PM"/>
    <s v="https://www.khanacademy.org/math/algebra/linear-word-problems#linear-models-word-problems-quiz"/>
    <s v="Quiz"/>
  </r>
  <r>
    <x v="10"/>
    <x v="1"/>
    <n v="4"/>
    <n v="5"/>
    <n v="5"/>
    <n v="100"/>
    <n v="4"/>
    <s v="Aug 23rd; 11:36AM"/>
    <s v="Aug 31st; 11:59PM"/>
    <s v="https://www.khanacademy.org/math/algebra/linear-word-problems#linear-models-word-problems-quiz"/>
    <s v="Quiz"/>
  </r>
  <r>
    <x v="10"/>
    <x v="2"/>
    <n v="4"/>
    <n v="4"/>
    <n v="5"/>
    <n v="80"/>
    <n v="1"/>
    <s v="Jul 10th; 11:17AM"/>
    <s v="Aug 31st; 11:59PM"/>
    <s v="https://www.khanacademy.org/math/algebra/linear-word-problems#linear-models-word-problems-quiz"/>
    <s v="Quiz"/>
  </r>
  <r>
    <x v="10"/>
    <x v="3"/>
    <n v="5"/>
    <n v="2"/>
    <n v="5"/>
    <n v="40"/>
    <n v="1"/>
    <s v="Jul 19th; 9:19AM"/>
    <s v="Aug 31st; 11:59PM"/>
    <s v="https://www.khanacademy.org/math/algebra/linear-word-problems#linear-models-word-problems-quiz"/>
    <s v="Quiz"/>
  </r>
  <r>
    <x v="10"/>
    <x v="4"/>
    <n v="3"/>
    <n v="5"/>
    <n v="5"/>
    <n v="100"/>
    <n v="1"/>
    <s v="Jul 19th; 9:29AM"/>
    <s v="Aug 31st; 11:59PM"/>
    <s v="https://www.khanacademy.org/math/algebra/linear-word-problems#linear-models-word-problems-quiz"/>
    <s v="Quiz"/>
  </r>
  <r>
    <x v="10"/>
    <x v="5"/>
    <n v="5"/>
    <n v="4"/>
    <n v="5"/>
    <n v="80"/>
    <n v="1"/>
    <s v="Jul 19th; 9:19AM"/>
    <s v="Aug 31st; 11:59PM"/>
    <s v="https://www.khanacademy.org/math/algebra/linear-word-problems#linear-models-word-problems-quiz"/>
    <s v="Quiz"/>
  </r>
  <r>
    <x v="10"/>
    <x v="6"/>
    <n v="5"/>
    <n v="3"/>
    <n v="5"/>
    <n v="60"/>
    <n v="1"/>
    <s v="Jul 19th; 9:19AM"/>
    <s v="Aug 31st; 11:59PM"/>
    <s v="https://www.khanacademy.org/math/algebra/linear-word-problems#linear-models-word-problems-quiz"/>
    <s v="Quiz"/>
  </r>
  <r>
    <x v="10"/>
    <x v="8"/>
    <n v="5"/>
    <n v="1"/>
    <n v="5"/>
    <n v="20"/>
    <n v="3"/>
    <s v="Jul 19th; 9:29AM"/>
    <s v="Aug 31st; 11:59PM"/>
    <s v="https://www.khanacademy.org/math/algebra/linear-word-problems#linear-models-word-problems-quiz"/>
    <s v="Quiz"/>
  </r>
  <r>
    <x v="10"/>
    <x v="9"/>
    <n v="5"/>
    <n v="4"/>
    <n v="5"/>
    <n v="80"/>
    <n v="1"/>
    <s v="Jul 19th; 9:19AM"/>
    <s v="Aug 31st; 11:59PM"/>
    <s v="https://www.khanacademy.org/math/algebra/linear-word-problems#linear-models-word-problems-quiz"/>
    <s v="Quiz"/>
  </r>
  <r>
    <x v="10"/>
    <x v="10"/>
    <n v="4"/>
    <n v="2"/>
    <n v="5"/>
    <n v="40"/>
    <n v="1"/>
    <s v="Aug 23rd; 11:36AM"/>
    <s v="Aug 31st; 11:59PM"/>
    <s v="https://www.khanacademy.org/math/algebra/linear-word-problems#linear-models-word-problems-quiz"/>
    <s v="Quiz"/>
  </r>
  <r>
    <x v="10"/>
    <x v="11"/>
    <n v="5"/>
    <n v="3"/>
    <n v="5"/>
    <n v="60"/>
    <n v="2"/>
    <s v="Jul 19th; 9:19AM"/>
    <s v="Aug 31st; 11:59PM"/>
    <s v="https://www.khanacademy.org/math/algebra/linear-word-problems#linear-models-word-problems-quiz"/>
    <s v="Quiz"/>
  </r>
  <r>
    <x v="10"/>
    <x v="12"/>
    <n v="4"/>
    <n v="5"/>
    <n v="5"/>
    <n v="100"/>
    <n v="2"/>
    <s v="Aug 21st; 12:30PM"/>
    <s v="Aug 31st; 11:59PM"/>
    <s v="https://www.khanacademy.org/math/algebra/linear-word-problems#linear-models-word-problems-quiz"/>
    <s v="Quiz"/>
  </r>
  <r>
    <x v="10"/>
    <x v="13"/>
    <n v="5"/>
    <n v="5"/>
    <n v="5"/>
    <n v="100"/>
    <n v="1"/>
    <s v="Aug 6th; 2:01PM"/>
    <s v="Aug 31st; 11:59PM"/>
    <s v="https://www.khanacademy.org/math/algebra/linear-word-problems#linear-models-word-problems-quiz"/>
    <s v="Quiz"/>
  </r>
  <r>
    <x v="10"/>
    <x v="14"/>
    <n v="4"/>
    <n v="5"/>
    <n v="5"/>
    <n v="100"/>
    <n v="1"/>
    <s v="Jul 19th; 9:24AM"/>
    <s v="Aug 31st; 11:59PM"/>
    <s v="https://www.khanacademy.org/math/algebra/linear-word-problems#linear-models-word-problems-quiz"/>
    <s v="Quiz"/>
  </r>
  <r>
    <x v="10"/>
    <x v="15"/>
    <m/>
    <n v="3"/>
    <n v="5"/>
    <n v="60"/>
    <n v="0"/>
    <s v="Aug 24th; 8:32PM"/>
    <s v="Aug 31st; 11:59PM"/>
    <s v="https://www.khanacademy.org/math/algebra/linear-word-problems#linear-models-word-problems-quiz"/>
    <s v="Quiz"/>
  </r>
  <r>
    <x v="10"/>
    <x v="16"/>
    <n v="5"/>
    <n v="5"/>
    <n v="5"/>
    <n v="100"/>
    <n v="2"/>
    <s v="Jul 19th; 9:19AM"/>
    <s v="Aug 31st; 11:59PM"/>
    <s v="https://www.khanacademy.org/math/algebra/linear-word-problems#linear-models-word-problems-quiz"/>
    <s v="Quiz"/>
  </r>
  <r>
    <x v="10"/>
    <x v="17"/>
    <n v="4"/>
    <n v="5"/>
    <n v="5"/>
    <n v="100"/>
    <n v="2"/>
    <s v="Jul 19th; 9:29AM"/>
    <s v="Aug 31st; 11:59PM"/>
    <s v="https://www.khanacademy.org/math/algebra/linear-word-problems#linear-models-word-problems-quiz"/>
    <s v="Quiz"/>
  </r>
  <r>
    <x v="11"/>
    <x v="0"/>
    <n v="5"/>
    <n v="5"/>
    <n v="5"/>
    <n v="100"/>
    <n v="3"/>
    <s v="Jul 19th; 9:19AM"/>
    <s v="Aug 31st; 11:59PM"/>
    <s v="https://www.khanacademy.org/math/algebra/absolute-value-equations-functions#graphs-of-absolute-value-functions-quiz"/>
    <s v="Quiz"/>
  </r>
  <r>
    <x v="11"/>
    <x v="1"/>
    <n v="3"/>
    <n v="5"/>
    <n v="5"/>
    <n v="100"/>
    <n v="1"/>
    <s v="Jul 19th; 9:29AM"/>
    <s v="Aug 31st; 11:59PM"/>
    <s v="https://www.khanacademy.org/math/algebra/absolute-value-equations-functions#graphs-of-absolute-value-functions-quiz"/>
    <s v="Quiz"/>
  </r>
  <r>
    <x v="11"/>
    <x v="2"/>
    <n v="4"/>
    <n v="5"/>
    <n v="5"/>
    <n v="100"/>
    <n v="2"/>
    <s v="Jul 19th; 9:09AM"/>
    <s v="Aug 31st; 11:59PM"/>
    <s v="https://www.khanacademy.org/math/algebra/absolute-value-equations-functions#graphs-of-absolute-value-functions-quiz"/>
    <s v="Quiz"/>
  </r>
  <r>
    <x v="11"/>
    <x v="3"/>
    <n v="4"/>
    <n v="3"/>
    <n v="5"/>
    <n v="60"/>
    <n v="1"/>
    <s v="Jul 10th; 11:17AM"/>
    <s v="Aug 31st; 11:59PM"/>
    <s v="https://www.khanacademy.org/math/algebra/absolute-value-equations-functions#graphs-of-absolute-value-functions-quiz"/>
    <s v="Quiz"/>
  </r>
  <r>
    <x v="11"/>
    <x v="4"/>
    <n v="4"/>
    <n v="5"/>
    <n v="5"/>
    <n v="100"/>
    <n v="1"/>
    <s v="Jul 10th; 11:17AM"/>
    <s v="Aug 31st; 11:59PM"/>
    <s v="https://www.khanacademy.org/math/algebra/absolute-value-equations-functions#graphs-of-absolute-value-functions-quiz"/>
    <s v="Quiz"/>
  </r>
  <r>
    <x v="11"/>
    <x v="5"/>
    <n v="4"/>
    <n v="4"/>
    <n v="5"/>
    <n v="80"/>
    <n v="1"/>
    <s v="Jul 10th; 11:17AM"/>
    <s v="Aug 31st; 11:59PM"/>
    <s v="https://www.khanacademy.org/math/algebra/absolute-value-equations-functions#graphs-of-absolute-value-functions-quiz"/>
    <s v="Quiz"/>
  </r>
  <r>
    <x v="11"/>
    <x v="6"/>
    <n v="4"/>
    <n v="4"/>
    <n v="5"/>
    <n v="80"/>
    <n v="1"/>
    <s v="Jul 10th; 11:17AM"/>
    <s v="Aug 31st; 11:59PM"/>
    <s v="https://www.khanacademy.org/math/algebra/absolute-value-equations-functions#graphs-of-absolute-value-functions-quiz"/>
    <s v="Quiz"/>
  </r>
  <r>
    <x v="11"/>
    <x v="7"/>
    <n v="5"/>
    <n v="5"/>
    <n v="5"/>
    <n v="100"/>
    <n v="3"/>
    <s v="Jul 19th; 9:19AM"/>
    <s v="Aug 31st; 11:59PM"/>
    <s v="https://www.khanacademy.org/math/algebra/absolute-value-equations-functions#graphs-of-absolute-value-functions-quiz"/>
    <s v="Quiz"/>
  </r>
  <r>
    <x v="11"/>
    <x v="8"/>
    <n v="4"/>
    <n v="4"/>
    <n v="5"/>
    <n v="80"/>
    <n v="2"/>
    <s v="Jul 19th; 9:09AM"/>
    <s v="Aug 31st; 11:59PM"/>
    <s v="https://www.khanacademy.org/math/algebra/absolute-value-equations-functions#graphs-of-absolute-value-functions-quiz"/>
    <s v="Quiz"/>
  </r>
  <r>
    <x v="11"/>
    <x v="9"/>
    <n v="4"/>
    <n v="5"/>
    <n v="5"/>
    <n v="100"/>
    <n v="2"/>
    <s v="Jul 19th; 9:09AM"/>
    <s v="Aug 31st; 11:59PM"/>
    <s v="https://www.khanacademy.org/math/algebra/absolute-value-equations-functions#graphs-of-absolute-value-functions-quiz"/>
    <s v="Quiz"/>
  </r>
  <r>
    <x v="11"/>
    <x v="10"/>
    <n v="5"/>
    <n v="4"/>
    <n v="5"/>
    <n v="80"/>
    <n v="3"/>
    <s v="Jul 19th; 9:19AM"/>
    <s v="Aug 31st; 11:59PM"/>
    <s v="https://www.khanacademy.org/math/algebra/absolute-value-equations-functions#graphs-of-absolute-value-functions-quiz"/>
    <s v="Quiz"/>
  </r>
  <r>
    <x v="11"/>
    <x v="11"/>
    <n v="4"/>
    <n v="4"/>
    <n v="5"/>
    <n v="80"/>
    <n v="1"/>
    <s v="Jul 10th; 11:17AM"/>
    <s v="Aug 31st; 11:59PM"/>
    <s v="https://www.khanacademy.org/math/algebra/absolute-value-equations-functions#graphs-of-absolute-value-functions-quiz"/>
    <s v="Quiz"/>
  </r>
  <r>
    <x v="11"/>
    <x v="12"/>
    <n v="4"/>
    <n v="5"/>
    <n v="5"/>
    <n v="100"/>
    <n v="2"/>
    <s v="Jul 19th; 9:09AM"/>
    <s v="Aug 31st; 11:59PM"/>
    <s v="https://www.khanacademy.org/math/algebra/absolute-value-equations-functions#graphs-of-absolute-value-functions-quiz"/>
    <s v="Quiz"/>
  </r>
  <r>
    <x v="11"/>
    <x v="13"/>
    <n v="5"/>
    <n v="5"/>
    <n v="5"/>
    <n v="100"/>
    <n v="3"/>
    <s v="Jul 19th; 9:19AM"/>
    <s v="Aug 31st; 11:59PM"/>
    <s v="https://www.khanacademy.org/math/algebra/absolute-value-equations-functions#graphs-of-absolute-value-functions-quiz"/>
    <s v="Quiz"/>
  </r>
  <r>
    <x v="11"/>
    <x v="14"/>
    <n v="4"/>
    <n v="5"/>
    <n v="5"/>
    <n v="100"/>
    <n v="1"/>
    <s v="Jul 10th; 11:17AM"/>
    <s v="Aug 31st; 11:59PM"/>
    <s v="https://www.khanacademy.org/math/algebra/absolute-value-equations-functions#graphs-of-absolute-value-functions-quiz"/>
    <s v="Quiz"/>
  </r>
  <r>
    <x v="11"/>
    <x v="15"/>
    <n v="4"/>
    <n v="4"/>
    <n v="5"/>
    <n v="80"/>
    <n v="1"/>
    <s v="Jul 10th; 11:17AM"/>
    <s v="Aug 31st; 11:59PM"/>
    <s v="https://www.khanacademy.org/math/algebra/absolute-value-equations-functions#graphs-of-absolute-value-functions-quiz"/>
    <s v="Quiz"/>
  </r>
  <r>
    <x v="11"/>
    <x v="16"/>
    <n v="4"/>
    <n v="5"/>
    <n v="5"/>
    <n v="100"/>
    <n v="1"/>
    <s v="Jul 10th; 11:17AM"/>
    <s v="Aug 31st; 11:59PM"/>
    <s v="https://www.khanacademy.org/math/algebra/absolute-value-equations-functions#graphs-of-absolute-value-functions-quiz"/>
    <s v="Quiz"/>
  </r>
  <r>
    <x v="11"/>
    <x v="17"/>
    <n v="5"/>
    <n v="5"/>
    <n v="5"/>
    <n v="100"/>
    <n v="3"/>
    <s v="Jul 19th; 9:19AM"/>
    <s v="Aug 31st; 11:59PM"/>
    <s v="https://www.khanacademy.org/math/algebra/absolute-value-equations-functions#graphs-of-absolute-value-functions-quiz"/>
    <s v="Quiz"/>
  </r>
  <r>
    <x v="12"/>
    <x v="0"/>
    <n v="4"/>
    <n v="5"/>
    <n v="6"/>
    <n v="83.333333333333343"/>
    <n v="2"/>
    <s v="Jul 19th; 9:09AM"/>
    <s v="Aug 31st; 11:59PM"/>
    <s v="https://www.khanacademy.org/math/algebra/rational-exponents-and-radicals#alg1-radicals-quiz"/>
    <s v="Quiz"/>
  </r>
  <r>
    <x v="12"/>
    <x v="1"/>
    <n v="4"/>
    <n v="6"/>
    <n v="6"/>
    <n v="100"/>
    <n v="1"/>
    <s v="Jul 10th; 11:17AM"/>
    <s v="Aug 31st; 11:59PM"/>
    <s v="https://www.khanacademy.org/math/algebra/rational-exponents-and-radicals#alg1-radicals-quiz"/>
    <s v="Quiz"/>
  </r>
  <r>
    <x v="12"/>
    <x v="2"/>
    <n v="4"/>
    <n v="6"/>
    <n v="6"/>
    <n v="100"/>
    <n v="1"/>
    <s v="Jul 19th; 9:09AM"/>
    <s v="Aug 31st; 11:59PM"/>
    <s v="https://www.khanacademy.org/math/algebra/rational-exponents-and-radicals#alg1-radicals-quiz"/>
    <s v="Quiz"/>
  </r>
  <r>
    <x v="12"/>
    <x v="3"/>
    <n v="4"/>
    <n v="6"/>
    <n v="6"/>
    <n v="100"/>
    <n v="1"/>
    <s v="Jul 10th; 11:17AM"/>
    <s v="Aug 31st; 11:59PM"/>
    <s v="https://www.khanacademy.org/math/algebra/rational-exponents-and-radicals#alg1-radicals-quiz"/>
    <s v="Quiz"/>
  </r>
  <r>
    <x v="12"/>
    <x v="4"/>
    <n v="5"/>
    <n v="6"/>
    <n v="6"/>
    <n v="100"/>
    <n v="3"/>
    <s v="Jul 19th; 9:19AM"/>
    <s v="Aug 31st; 11:59PM"/>
    <s v="https://www.khanacademy.org/math/algebra/rational-exponents-and-radicals#alg1-radicals-quiz"/>
    <s v="Quiz"/>
  </r>
  <r>
    <x v="12"/>
    <x v="5"/>
    <n v="4"/>
    <n v="6"/>
    <n v="6"/>
    <n v="100"/>
    <n v="1"/>
    <s v="Jul 10th; 11:17AM"/>
    <s v="Aug 31st; 11:59PM"/>
    <s v="https://www.khanacademy.org/math/algebra/rational-exponents-and-radicals#alg1-radicals-quiz"/>
    <s v="Quiz"/>
  </r>
  <r>
    <x v="12"/>
    <x v="6"/>
    <n v="4"/>
    <n v="4"/>
    <n v="6"/>
    <n v="66.666666666666657"/>
    <n v="1"/>
    <s v="Jul 19th; 9:09AM"/>
    <s v="Aug 31st; 11:59PM"/>
    <s v="https://www.khanacademy.org/math/algebra/rational-exponents-and-radicals#alg1-radicals-quiz"/>
    <s v="Quiz"/>
  </r>
  <r>
    <x v="12"/>
    <x v="7"/>
    <n v="4"/>
    <n v="6"/>
    <n v="6"/>
    <n v="100"/>
    <n v="4"/>
    <s v="Jul 19th; 9:29AM"/>
    <s v="Aug 31st; 11:59PM"/>
    <s v="https://www.khanacademy.org/math/algebra/rational-exponents-and-radicals#alg1-radicals-quiz"/>
    <s v="Quiz"/>
  </r>
  <r>
    <x v="12"/>
    <x v="8"/>
    <n v="4"/>
    <n v="5"/>
    <n v="6"/>
    <n v="83.333333333333343"/>
    <n v="1"/>
    <s v="Jul 10th; 11:17AM"/>
    <s v="Aug 31st; 11:59PM"/>
    <s v="https://www.khanacademy.org/math/algebra/rational-exponents-and-radicals#alg1-radicals-quiz"/>
    <s v="Quiz"/>
  </r>
  <r>
    <x v="12"/>
    <x v="9"/>
    <n v="4"/>
    <n v="6"/>
    <n v="6"/>
    <n v="100"/>
    <n v="1"/>
    <s v="Jul 10th; 11:17AM"/>
    <s v="Aug 31st; 11:59PM"/>
    <s v="https://www.khanacademy.org/math/algebra/rational-exponents-and-radicals#alg1-radicals-quiz"/>
    <s v="Quiz"/>
  </r>
  <r>
    <x v="12"/>
    <x v="10"/>
    <n v="5"/>
    <n v="4"/>
    <n v="6"/>
    <n v="66.666666666666657"/>
    <n v="3"/>
    <s v="Jul 19th; 9:19AM"/>
    <s v="Aug 31st; 11:59PM"/>
    <s v="https://www.khanacademy.org/math/algebra/rational-exponents-and-radicals#alg1-radicals-quiz"/>
    <s v="Quiz"/>
  </r>
  <r>
    <x v="12"/>
    <x v="11"/>
    <n v="4"/>
    <n v="6"/>
    <n v="6"/>
    <n v="100"/>
    <n v="1"/>
    <s v="Jul 10th; 11:17AM"/>
    <s v="Aug 31st; 11:59PM"/>
    <s v="https://www.khanacademy.org/math/algebra/rational-exponents-and-radicals#alg1-radicals-quiz"/>
    <s v="Quiz"/>
  </r>
  <r>
    <x v="12"/>
    <x v="12"/>
    <n v="5"/>
    <n v="6"/>
    <n v="6"/>
    <n v="100"/>
    <n v="3"/>
    <s v="Jul 26th; 2:07PM"/>
    <s v="Aug 31st; 11:59PM"/>
    <s v="https://www.khanacademy.org/math/algebra/rational-exponents-and-radicals#alg1-radicals-quiz"/>
    <s v="Quiz"/>
  </r>
  <r>
    <x v="12"/>
    <x v="13"/>
    <n v="4"/>
    <n v="6"/>
    <n v="6"/>
    <n v="100"/>
    <n v="1"/>
    <s v="Jul 10th; 11:17AM"/>
    <s v="Aug 31st; 11:59PM"/>
    <s v="https://www.khanacademy.org/math/algebra/rational-exponents-and-radicals#alg1-radicals-quiz"/>
    <s v="Quiz"/>
  </r>
  <r>
    <x v="12"/>
    <x v="14"/>
    <n v="4"/>
    <n v="6"/>
    <n v="6"/>
    <n v="100"/>
    <n v="1"/>
    <s v="Jul 10th; 11:17AM"/>
    <s v="Aug 31st; 11:59PM"/>
    <s v="https://www.khanacademy.org/math/algebra/rational-exponents-and-radicals#alg1-radicals-quiz"/>
    <s v="Quiz"/>
  </r>
  <r>
    <x v="12"/>
    <x v="15"/>
    <n v="4"/>
    <n v="5"/>
    <n v="6"/>
    <n v="83.333333333333343"/>
    <n v="1"/>
    <s v="Jul 10th; 11:17AM"/>
    <s v="Aug 31st; 11:59PM"/>
    <s v="https://www.khanacademy.org/math/algebra/rational-exponents-and-radicals#alg1-radicals-quiz"/>
    <s v="Quiz"/>
  </r>
  <r>
    <x v="12"/>
    <x v="16"/>
    <n v="4"/>
    <n v="6"/>
    <n v="6"/>
    <n v="100"/>
    <n v="1"/>
    <s v="Jul 10th; 11:17AM"/>
    <s v="Aug 31st; 11:59PM"/>
    <s v="https://www.khanacademy.org/math/algebra/rational-exponents-and-radicals#alg1-radicals-quiz"/>
    <s v="Quiz"/>
  </r>
  <r>
    <x v="12"/>
    <x v="17"/>
    <n v="4"/>
    <n v="6"/>
    <n v="6"/>
    <n v="100"/>
    <n v="1"/>
    <s v="Jul 10th; 11:17AM"/>
    <s v="Aug 31st; 11:59PM"/>
    <s v="https://www.khanacademy.org/math/algebra/rational-exponents-and-radicals#alg1-radicals-quiz"/>
    <s v="Quiz"/>
  </r>
  <r>
    <x v="13"/>
    <x v="0"/>
    <n v="4"/>
    <n v="4"/>
    <n v="5"/>
    <n v="80"/>
    <n v="2"/>
    <s v="Jul 19th; 9:29AM"/>
    <s v="Aug 31st; 11:59PM"/>
    <s v="https://www.khanacademy.org/math/algebra/two-var-linear-equations#hor-and-ver-lines-alg1-quiz"/>
    <s v="Quiz"/>
  </r>
  <r>
    <x v="13"/>
    <x v="1"/>
    <n v="4"/>
    <n v="5"/>
    <n v="5"/>
    <n v="100"/>
    <n v="2"/>
    <s v="Jul 19th; 9:29AM"/>
    <s v="Aug 31st; 11:59PM"/>
    <s v="https://www.khanacademy.org/math/algebra/two-var-linear-equations#hor-and-ver-lines-alg1-quiz"/>
    <s v="Quiz"/>
  </r>
  <r>
    <x v="13"/>
    <x v="2"/>
    <n v="5"/>
    <n v="5"/>
    <n v="5"/>
    <n v="100"/>
    <n v="4"/>
    <s v="Jul 26th; 2:07PM"/>
    <s v="Aug 31st; 11:59PM"/>
    <s v="https://www.khanacademy.org/math/algebra/two-var-linear-equations#hor-and-ver-lines-alg1-quiz"/>
    <s v="Quiz"/>
  </r>
  <r>
    <x v="13"/>
    <x v="3"/>
    <m/>
    <n v="3"/>
    <n v="5"/>
    <n v="60"/>
    <n v="0"/>
    <s v="Aug 13th; 8:27PM"/>
    <s v="Aug 31st; 11:59PM"/>
    <s v="https://www.khanacademy.org/math/algebra/two-var-linear-equations#hor-and-ver-lines-alg1-quiz"/>
    <s v="Quiz"/>
  </r>
  <r>
    <x v="13"/>
    <x v="4"/>
    <n v="5"/>
    <n v="5"/>
    <n v="5"/>
    <n v="100"/>
    <n v="2"/>
    <s v="Jul 19th; 9:24AM"/>
    <s v="Aug 31st; 11:59PM"/>
    <s v="https://www.khanacademy.org/math/algebra/two-var-linear-equations#hor-and-ver-lines-alg1-quiz"/>
    <s v="Quiz"/>
  </r>
  <r>
    <x v="13"/>
    <x v="5"/>
    <m/>
    <n v="5"/>
    <n v="5"/>
    <n v="100"/>
    <n v="0"/>
    <s v="Aug 8th; 3:42PM"/>
    <s v="Aug 31st; 11:59PM"/>
    <s v="https://www.khanacademy.org/math/algebra/two-var-linear-equations#hor-and-ver-lines-alg1-quiz"/>
    <s v="Quiz"/>
  </r>
  <r>
    <x v="13"/>
    <x v="6"/>
    <n v="4"/>
    <n v="4"/>
    <n v="5"/>
    <n v="80"/>
    <n v="1"/>
    <s v="Jul 19th; 9:09AM"/>
    <s v="Aug 31st; 11:59PM"/>
    <s v="https://www.khanacademy.org/math/algebra/two-var-linear-equations#hor-and-ver-lines-alg1-quiz"/>
    <s v="Quiz"/>
  </r>
  <r>
    <x v="13"/>
    <x v="7"/>
    <n v="3"/>
    <n v="5"/>
    <n v="5"/>
    <n v="100"/>
    <n v="1"/>
    <s v="Jul 19th; 9:29AM"/>
    <s v="Aug 31st; 11:59PM"/>
    <s v="https://www.khanacademy.org/math/algebra/two-var-linear-equations#hor-and-ver-lines-alg1-quiz"/>
    <s v="Quiz"/>
  </r>
  <r>
    <x v="13"/>
    <x v="8"/>
    <n v="4"/>
    <n v="4"/>
    <n v="5"/>
    <n v="80"/>
    <n v="1"/>
    <s v="Jul 19th; 9:24AM"/>
    <s v="Aug 31st; 11:59PM"/>
    <s v="https://www.khanacademy.org/math/algebra/two-var-linear-equations#hor-and-ver-lines-alg1-quiz"/>
    <s v="Quiz"/>
  </r>
  <r>
    <x v="13"/>
    <x v="9"/>
    <n v="4"/>
    <n v="4"/>
    <n v="5"/>
    <n v="80"/>
    <n v="1"/>
    <s v="Jul 19th; 9:24AM"/>
    <s v="Aug 31st; 11:59PM"/>
    <s v="https://www.khanacademy.org/math/algebra/two-var-linear-equations#hor-and-ver-lines-alg1-quiz"/>
    <s v="Quiz"/>
  </r>
  <r>
    <x v="13"/>
    <x v="10"/>
    <n v="5"/>
    <n v="4"/>
    <n v="5"/>
    <n v="80"/>
    <n v="3"/>
    <s v="Jul 19th; 9:29AM"/>
    <s v="Aug 31st; 11:59PM"/>
    <s v="https://www.khanacademy.org/math/algebra/two-var-linear-equations#hor-and-ver-lines-alg1-quiz"/>
    <s v="Quiz"/>
  </r>
  <r>
    <x v="13"/>
    <x v="11"/>
    <m/>
    <n v="4"/>
    <n v="5"/>
    <n v="80"/>
    <n v="0"/>
    <s v="Aug 23rd; 4:39PM"/>
    <s v="Aug 31st; 11:59PM"/>
    <s v="https://www.khanacademy.org/math/algebra/two-var-linear-equations#hor-and-ver-lines-alg1-quiz"/>
    <s v="Quiz"/>
  </r>
  <r>
    <x v="13"/>
    <x v="12"/>
    <n v="4"/>
    <n v="5"/>
    <n v="5"/>
    <n v="100"/>
    <n v="2"/>
    <s v="Jul 19th; 9:29AM"/>
    <s v="Aug 31st; 11:59PM"/>
    <s v="https://www.khanacademy.org/math/algebra/two-var-linear-equations#hor-and-ver-lines-alg1-quiz"/>
    <s v="Quiz"/>
  </r>
  <r>
    <x v="13"/>
    <x v="13"/>
    <n v="4"/>
    <n v="5"/>
    <n v="5"/>
    <n v="100"/>
    <n v="2"/>
    <s v="Aug 14th; 6:50PM"/>
    <s v="Aug 31st; 11:59PM"/>
    <s v="https://www.khanacademy.org/math/algebra/two-var-linear-equations#hor-and-ver-lines-alg1-quiz"/>
    <s v="Quiz"/>
  </r>
  <r>
    <x v="13"/>
    <x v="14"/>
    <n v="5"/>
    <n v="5"/>
    <n v="5"/>
    <n v="100"/>
    <n v="1"/>
    <s v="Jul 19th; 9:19AM"/>
    <s v="Aug 31st; 11:59PM"/>
    <s v="https://www.khanacademy.org/math/algebra/two-var-linear-equations#hor-and-ver-lines-alg1-quiz"/>
    <s v="Quiz"/>
  </r>
  <r>
    <x v="13"/>
    <x v="15"/>
    <n v="4"/>
    <n v="3"/>
    <n v="5"/>
    <n v="60"/>
    <n v="2"/>
    <s v="Jul 19th; 9:24AM"/>
    <s v="Aug 31st; 11:59PM"/>
    <s v="https://www.khanacademy.org/math/algebra/two-var-linear-equations#hor-and-ver-lines-alg1-quiz"/>
    <s v="Quiz"/>
  </r>
  <r>
    <x v="13"/>
    <x v="16"/>
    <m/>
    <n v="5"/>
    <n v="5"/>
    <n v="100"/>
    <n v="0"/>
    <s v="Aug 30th; 9:11PM"/>
    <s v="Aug 31st; 11:59PM"/>
    <s v="https://www.khanacademy.org/math/algebra/two-var-linear-equations#hor-and-ver-lines-alg1-quiz"/>
    <s v="Quiz"/>
  </r>
  <r>
    <x v="13"/>
    <x v="17"/>
    <n v="4"/>
    <n v="5"/>
    <n v="5"/>
    <n v="100"/>
    <n v="1"/>
    <s v="Jul 19th; 9:24AM"/>
    <s v="Aug 31st; 11:59PM"/>
    <s v="https://www.khanacademy.org/math/algebra/two-var-linear-equations#hor-and-ver-lines-alg1-quiz"/>
    <s v="Quiz"/>
  </r>
  <r>
    <x v="14"/>
    <x v="0"/>
    <m/>
    <n v="3"/>
    <n v="5"/>
    <n v="60"/>
    <n v="0"/>
    <s v="Aug 13th; 11:55AM"/>
    <s v="Aug 31st; 11:59PM"/>
    <s v="https://www.khanacademy.org/math/algebra/rational-exponents-and-radicals#alg1-simplify-higher-index-roots-quiz"/>
    <s v="Quiz"/>
  </r>
  <r>
    <x v="14"/>
    <x v="1"/>
    <m/>
    <n v="5"/>
    <n v="5"/>
    <n v="100"/>
    <n v="0"/>
    <s v="Aug 9th; 10:01PM"/>
    <s v="Aug 31st; 11:59PM"/>
    <s v="https://www.khanacademy.org/math/algebra/rational-exponents-and-radicals#alg1-simplify-higher-index-roots-quiz"/>
    <s v="Quiz"/>
  </r>
  <r>
    <x v="14"/>
    <x v="2"/>
    <n v="4"/>
    <n v="5"/>
    <n v="5"/>
    <n v="100"/>
    <n v="2"/>
    <s v="Aug 21st; 12:30PM"/>
    <s v="Aug 31st; 11:59PM"/>
    <s v="https://www.khanacademy.org/math/algebra/rational-exponents-and-radicals#alg1-simplify-higher-index-roots-quiz"/>
    <s v="Quiz"/>
  </r>
  <r>
    <x v="14"/>
    <x v="3"/>
    <n v="5"/>
    <n v="4"/>
    <n v="5"/>
    <n v="80"/>
    <n v="3"/>
    <s v="Jul 26th; 2:07PM"/>
    <s v="Aug 31st; 11:59PM"/>
    <s v="https://www.khanacademy.org/math/algebra/rational-exponents-and-radicals#alg1-simplify-higher-index-roots-quiz"/>
    <s v="Quiz"/>
  </r>
  <r>
    <x v="14"/>
    <x v="4"/>
    <n v="4"/>
    <n v="4"/>
    <n v="5"/>
    <n v="80"/>
    <n v="2"/>
    <s v="Aug 23rd; 11:36AM"/>
    <s v="Aug 31st; 11:59PM"/>
    <s v="https://www.khanacademy.org/math/algebra/rational-exponents-and-radicals#alg1-simplify-higher-index-roots-quiz"/>
    <s v="Quiz"/>
  </r>
  <r>
    <x v="14"/>
    <x v="5"/>
    <n v="5"/>
    <n v="3"/>
    <n v="5"/>
    <n v="60"/>
    <n v="1"/>
    <s v="Jul 19th; 9:19AM"/>
    <s v="Aug 31st; 11:59PM"/>
    <s v="https://www.khanacademy.org/math/algebra/rational-exponents-and-radicals#alg1-simplify-higher-index-roots-quiz"/>
    <s v="Quiz"/>
  </r>
  <r>
    <x v="14"/>
    <x v="6"/>
    <n v="5"/>
    <n v="4"/>
    <n v="5"/>
    <n v="80"/>
    <n v="1"/>
    <s v="Jul 19th; 9:19AM"/>
    <s v="Aug 31st; 11:59PM"/>
    <s v="https://www.khanacademy.org/math/algebra/rational-exponents-and-radicals#alg1-simplify-higher-index-roots-quiz"/>
    <s v="Quiz"/>
  </r>
  <r>
    <x v="14"/>
    <x v="7"/>
    <n v="0"/>
    <n v="5"/>
    <n v="5"/>
    <n v="100"/>
    <n v="1"/>
    <s v="Aug 15th; 1:24AM"/>
    <s v="Aug 31st; 11:59PM"/>
    <s v="https://www.khanacademy.org/math/algebra/rational-exponents-and-radicals#alg1-simplify-higher-index-roots-quiz"/>
    <s v="Quiz"/>
  </r>
  <r>
    <x v="14"/>
    <x v="8"/>
    <n v="5"/>
    <n v="4"/>
    <n v="5"/>
    <n v="80"/>
    <n v="1"/>
    <s v="Jul 19th; 9:19AM"/>
    <s v="Aug 31st; 11:59PM"/>
    <s v="https://www.khanacademy.org/math/algebra/rational-exponents-and-radicals#alg1-simplify-higher-index-roots-quiz"/>
    <s v="Quiz"/>
  </r>
  <r>
    <x v="14"/>
    <x v="9"/>
    <n v="5"/>
    <n v="5"/>
    <n v="5"/>
    <n v="100"/>
    <n v="1"/>
    <s v="Jul 19th; 9:19AM"/>
    <s v="Aug 31st; 11:59PM"/>
    <s v="https://www.khanacademy.org/math/algebra/rational-exponents-and-radicals#alg1-simplify-higher-index-roots-quiz"/>
    <s v="Quiz"/>
  </r>
  <r>
    <x v="14"/>
    <x v="10"/>
    <n v="4"/>
    <n v="3"/>
    <n v="5"/>
    <n v="60"/>
    <n v="2"/>
    <s v="Aug 23rd; 11:36AM"/>
    <s v="Aug 31st; 11:59PM"/>
    <s v="https://www.khanacademy.org/math/algebra/rational-exponents-and-radicals#alg1-simplify-higher-index-roots-quiz"/>
    <s v="Quiz"/>
  </r>
  <r>
    <x v="14"/>
    <x v="11"/>
    <n v="5"/>
    <n v="5"/>
    <n v="5"/>
    <n v="100"/>
    <n v="2"/>
    <s v="Aug 21st; 12:30PM"/>
    <s v="Aug 31st; 11:59PM"/>
    <s v="https://www.khanacademy.org/math/algebra/rational-exponents-and-radicals#alg1-simplify-higher-index-roots-quiz"/>
    <s v="Quiz"/>
  </r>
  <r>
    <x v="14"/>
    <x v="12"/>
    <m/>
    <n v="5"/>
    <n v="5"/>
    <n v="100"/>
    <n v="0"/>
    <s v="Aug 16th; 5:32PM"/>
    <s v="Aug 31st; 11:59PM"/>
    <s v="https://www.khanacademy.org/math/algebra/rational-exponents-and-radicals#alg1-simplify-higher-index-roots-quiz"/>
    <s v="Quiz"/>
  </r>
  <r>
    <x v="14"/>
    <x v="13"/>
    <n v="5"/>
    <n v="5"/>
    <n v="5"/>
    <n v="100"/>
    <n v="2"/>
    <s v="Aug 15th; 1:24AM"/>
    <s v="Aug 31st; 11:59PM"/>
    <s v="https://www.khanacademy.org/math/algebra/rational-exponents-and-radicals#alg1-simplify-higher-index-roots-quiz"/>
    <s v="Quiz"/>
  </r>
  <r>
    <x v="14"/>
    <x v="14"/>
    <m/>
    <n v="5"/>
    <n v="5"/>
    <n v="100"/>
    <n v="0"/>
    <s v="Aug 28th; 4:36PM"/>
    <s v="Aug 31st; 11:59PM"/>
    <s v="https://www.khanacademy.org/math/algebra/rational-exponents-and-radicals#alg1-simplify-higher-index-roots-quiz"/>
    <s v="Quiz"/>
  </r>
  <r>
    <x v="14"/>
    <x v="15"/>
    <n v="5"/>
    <n v="3"/>
    <n v="5"/>
    <n v="60"/>
    <n v="1"/>
    <s v="Jul 19th; 9:19AM"/>
    <s v="Aug 31st; 11:59PM"/>
    <s v="https://www.khanacademy.org/math/algebra/rational-exponents-and-radicals#alg1-simplify-higher-index-roots-quiz"/>
    <s v="Quiz"/>
  </r>
  <r>
    <x v="14"/>
    <x v="16"/>
    <n v="5"/>
    <n v="5"/>
    <n v="5"/>
    <n v="100"/>
    <n v="1"/>
    <s v="Jul 19th; 9:19AM"/>
    <s v="Aug 31st; 11:59PM"/>
    <s v="https://www.khanacademy.org/math/algebra/rational-exponents-and-radicals#alg1-simplify-higher-index-roots-quiz"/>
    <s v="Quiz"/>
  </r>
  <r>
    <x v="14"/>
    <x v="17"/>
    <n v="4"/>
    <n v="5"/>
    <n v="5"/>
    <n v="100"/>
    <n v="4"/>
    <s v="Aug 14th; 6:58PM"/>
    <s v="Aug 31st; 11:59PM"/>
    <s v="https://www.khanacademy.org/math/algebra/rational-exponents-and-radicals#alg1-simplify-higher-index-roots-quiz"/>
    <s v="Quiz"/>
  </r>
  <r>
    <x v="15"/>
    <x v="0"/>
    <n v="4"/>
    <n v="14"/>
    <n v="15"/>
    <n v="93.333333333333329"/>
    <n v="1"/>
    <s v="Jul 19th; 9:24AM"/>
    <s v="Aug 31st; 11:59PM"/>
    <s v="https://www.khanacademy.org/math/algebra/rational-exponents-and-radicals#rational-exponents-and-radicals-unit-test"/>
    <s v="Unit Test"/>
  </r>
  <r>
    <x v="15"/>
    <x v="1"/>
    <n v="4"/>
    <n v="13"/>
    <n v="15"/>
    <n v="86.666666666666671"/>
    <n v="2"/>
    <s v="Aug 23rd; 11:36AM"/>
    <s v="Aug 31st; 11:59PM"/>
    <s v="https://www.khanacademy.org/math/algebra/rational-exponents-and-radicals#rational-exponents-and-radicals-unit-test"/>
    <s v="Unit Test"/>
  </r>
  <r>
    <x v="15"/>
    <x v="2"/>
    <n v="4"/>
    <n v="13"/>
    <n v="15"/>
    <n v="86.666666666666671"/>
    <n v="1"/>
    <s v="Jul 10th; 11:17AM"/>
    <s v="Aug 31st; 11:59PM"/>
    <s v="https://www.khanacademy.org/math/algebra/rational-exponents-and-radicals#rational-exponents-and-radicals-unit-test"/>
    <s v="Unit Test"/>
  </r>
  <r>
    <x v="15"/>
    <x v="3"/>
    <n v="5"/>
    <n v="11"/>
    <n v="15"/>
    <n v="73.333333333333329"/>
    <n v="2"/>
    <s v="Aug 6th; 2:01PM"/>
    <s v="Aug 31st; 11:59PM"/>
    <s v="https://www.khanacademy.org/math/algebra/rational-exponents-and-radicals#rational-exponents-and-radicals-unit-test"/>
    <s v="Unit Test"/>
  </r>
  <r>
    <x v="15"/>
    <x v="4"/>
    <n v="5"/>
    <n v="10"/>
    <n v="15"/>
    <n v="66.666666666666657"/>
    <n v="1"/>
    <s v="Aug 6th; 2:01PM"/>
    <s v="Aug 31st; 11:59PM"/>
    <s v="https://www.khanacademy.org/math/algebra/rational-exponents-and-radicals#rational-exponents-and-radicals-unit-test"/>
    <s v="Unit Test"/>
  </r>
  <r>
    <x v="15"/>
    <x v="5"/>
    <m/>
    <n v="13"/>
    <n v="15"/>
    <n v="86.666666666666671"/>
    <n v="0"/>
    <s v="Aug 23rd; 5:08PM"/>
    <s v="Aug 31st; 11:59PM"/>
    <s v="https://www.khanacademy.org/math/algebra/rational-exponents-and-radicals#rational-exponents-and-radicals-unit-test"/>
    <s v="Unit Test"/>
  </r>
  <r>
    <x v="15"/>
    <x v="6"/>
    <n v="4"/>
    <n v="10"/>
    <n v="15"/>
    <n v="66.666666666666657"/>
    <n v="1"/>
    <s v="Jul 10th; 11:17AM"/>
    <s v="Aug 31st; 11:59PM"/>
    <s v="https://www.khanacademy.org/math/algebra/rational-exponents-and-radicals#rational-exponents-and-radicals-unit-test"/>
    <s v="Unit Test"/>
  </r>
  <r>
    <x v="15"/>
    <x v="7"/>
    <n v="5"/>
    <n v="13"/>
    <n v="15"/>
    <n v="86.666666666666671"/>
    <n v="2"/>
    <s v="Aug 15th; 1:30AM"/>
    <s v="Aug 31st; 11:59PM"/>
    <s v="https://www.khanacademy.org/math/algebra/rational-exponents-and-radicals#rational-exponents-and-radicals-unit-test"/>
    <s v="Unit Test"/>
  </r>
  <r>
    <x v="15"/>
    <x v="8"/>
    <n v="4"/>
    <n v="13"/>
    <n v="15"/>
    <n v="86.666666666666671"/>
    <n v="1"/>
    <s v="Jul 19th; 9:24AM"/>
    <s v="Aug 31st; 11:59PM"/>
    <s v="https://www.khanacademy.org/math/algebra/rational-exponents-and-radicals#rational-exponents-and-radicals-unit-test"/>
    <s v="Unit Test"/>
  </r>
  <r>
    <x v="15"/>
    <x v="9"/>
    <m/>
    <n v="14"/>
    <n v="15"/>
    <n v="93.333333333333329"/>
    <n v="0"/>
    <s v="Aug 23rd; 5:02PM"/>
    <s v="Aug 31st; 11:59PM"/>
    <s v="https://www.khanacademy.org/math/algebra/rational-exponents-and-radicals#rational-exponents-and-radicals-unit-test"/>
    <s v="Unit Test"/>
  </r>
  <r>
    <x v="15"/>
    <x v="10"/>
    <n v="3"/>
    <n v="4"/>
    <n v="15"/>
    <n v="26.666666666666668"/>
    <n v="1"/>
    <s v="Jul 19th; 9:29AM"/>
    <s v="Aug 31st; 11:59PM"/>
    <s v="https://www.khanacademy.org/math/algebra/rational-exponents-and-radicals#rational-exponents-and-radicals-unit-test"/>
    <s v="Unit Test"/>
  </r>
  <r>
    <x v="15"/>
    <x v="11"/>
    <n v="3"/>
    <n v="13"/>
    <n v="15"/>
    <n v="86.666666666666671"/>
    <n v="1"/>
    <s v="Jul 19th; 9:29AM"/>
    <s v="Aug 31st; 11:59PM"/>
    <s v="https://www.khanacademy.org/math/algebra/rational-exponents-and-radicals#rational-exponents-and-radicals-unit-test"/>
    <s v="Unit Test"/>
  </r>
  <r>
    <x v="15"/>
    <x v="12"/>
    <n v="4"/>
    <n v="15"/>
    <n v="15"/>
    <n v="100"/>
    <n v="4"/>
    <s v="Aug 23rd; 11:36AM"/>
    <s v="Aug 31st; 11:59PM"/>
    <s v="https://www.khanacademy.org/math/algebra/rational-exponents-and-radicals#rational-exponents-and-radicals-unit-test"/>
    <s v="Unit Test"/>
  </r>
  <r>
    <x v="15"/>
    <x v="13"/>
    <n v="4"/>
    <n v="15"/>
    <n v="15"/>
    <n v="100"/>
    <n v="2"/>
    <s v="Aug 15th; 1:38AM"/>
    <s v="Aug 31st; 11:59PM"/>
    <s v="https://www.khanacademy.org/math/algebra/rational-exponents-and-radicals#rational-exponents-and-radicals-unit-test"/>
    <s v="Unit Test"/>
  </r>
  <r>
    <x v="15"/>
    <x v="14"/>
    <n v="4"/>
    <n v="12"/>
    <n v="15"/>
    <n v="80"/>
    <n v="1"/>
    <s v="Jul 19th; 9:24AM"/>
    <s v="Aug 31st; 11:59PM"/>
    <s v="https://www.khanacademy.org/math/algebra/rational-exponents-and-radicals#rational-exponents-and-radicals-unit-test"/>
    <s v="Unit Test"/>
  </r>
  <r>
    <x v="15"/>
    <x v="15"/>
    <m/>
    <n v="10"/>
    <n v="15"/>
    <n v="66.666666666666657"/>
    <n v="0"/>
    <s v="Aug 24th; 9:39PM"/>
    <s v="Aug 31st; 11:59PM"/>
    <s v="https://www.khanacademy.org/math/algebra/rational-exponents-and-radicals#rational-exponents-and-radicals-unit-test"/>
    <s v="Unit Test"/>
  </r>
  <r>
    <x v="15"/>
    <x v="16"/>
    <n v="4"/>
    <n v="15"/>
    <n v="15"/>
    <n v="100"/>
    <n v="2"/>
    <s v="Jul 19th; 9:29AM"/>
    <s v="Aug 31st; 11:59PM"/>
    <s v="https://www.khanacademy.org/math/algebra/rational-exponents-and-radicals#rational-exponents-and-radicals-unit-test"/>
    <s v="Unit Test"/>
  </r>
  <r>
    <x v="15"/>
    <x v="17"/>
    <n v="4"/>
    <n v="15"/>
    <n v="15"/>
    <n v="100"/>
    <n v="2"/>
    <s v="Aug 14th; 6:50PM"/>
    <s v="Aug 31st; 11:59PM"/>
    <s v="https://www.khanacademy.org/math/algebra/rational-exponents-and-radicals#rational-exponents-and-radicals-unit-test"/>
    <s v="Unit Test"/>
  </r>
  <r>
    <x v="16"/>
    <x v="0"/>
    <n v="4"/>
    <n v="4"/>
    <n v="6"/>
    <n v="66.666666666666657"/>
    <n v="1"/>
    <s v="Jul 10th; 11:17AM"/>
    <s v="Aug 31st; 11:59PM"/>
    <s v="https://www.khanacademy.org/math/algebra/introduction-to-exponential-functions#exponential-expressions-alg1-quiz"/>
    <s v="Quiz"/>
  </r>
  <r>
    <x v="16"/>
    <x v="1"/>
    <n v="5"/>
    <n v="6"/>
    <n v="6"/>
    <n v="100"/>
    <n v="3"/>
    <s v="Jul 19th; 9:19AM"/>
    <s v="Aug 31st; 11:59PM"/>
    <s v="https://www.khanacademy.org/math/algebra/introduction-to-exponential-functions#exponential-expressions-alg1-quiz"/>
    <s v="Quiz"/>
  </r>
  <r>
    <x v="16"/>
    <x v="2"/>
    <n v="5"/>
    <n v="6"/>
    <n v="6"/>
    <n v="100"/>
    <n v="4"/>
    <s v="Jul 19th; 9:24AM"/>
    <s v="Aug 31st; 11:59PM"/>
    <s v="https://www.khanacademy.org/math/algebra/introduction-to-exponential-functions#exponential-expressions-alg1-quiz"/>
    <s v="Quiz"/>
  </r>
  <r>
    <x v="16"/>
    <x v="3"/>
    <n v="4"/>
    <n v="3"/>
    <n v="6"/>
    <n v="50"/>
    <n v="1"/>
    <s v="Jul 10th; 11:17AM"/>
    <s v="Aug 31st; 11:59PM"/>
    <s v="https://www.khanacademy.org/math/algebra/introduction-to-exponential-functions#exponential-expressions-alg1-quiz"/>
    <s v="Quiz"/>
  </r>
  <r>
    <x v="16"/>
    <x v="4"/>
    <n v="4"/>
    <n v="5"/>
    <n v="6"/>
    <n v="83.333333333333343"/>
    <n v="2"/>
    <s v="Jul 19th; 9:09AM"/>
    <s v="Aug 31st; 11:59PM"/>
    <s v="https://www.khanacademy.org/math/algebra/introduction-to-exponential-functions#exponential-expressions-alg1-quiz"/>
    <s v="Quiz"/>
  </r>
  <r>
    <x v="16"/>
    <x v="5"/>
    <n v="4"/>
    <n v="4"/>
    <n v="6"/>
    <n v="66.666666666666657"/>
    <n v="1"/>
    <s v="Jul 10th; 11:17AM"/>
    <s v="Aug 31st; 11:59PM"/>
    <s v="https://www.khanacademy.org/math/algebra/introduction-to-exponential-functions#exponential-expressions-alg1-quiz"/>
    <s v="Quiz"/>
  </r>
  <r>
    <x v="16"/>
    <x v="6"/>
    <n v="4"/>
    <n v="5"/>
    <n v="6"/>
    <n v="83.333333333333343"/>
    <n v="1"/>
    <s v="Jul 10th; 11:17AM"/>
    <s v="Aug 31st; 11:59PM"/>
    <s v="https://www.khanacademy.org/math/algebra/introduction-to-exponential-functions#exponential-expressions-alg1-quiz"/>
    <s v="Quiz"/>
  </r>
  <r>
    <x v="16"/>
    <x v="7"/>
    <n v="5"/>
    <n v="6"/>
    <n v="6"/>
    <n v="100"/>
    <n v="4"/>
    <s v="Jul 19th; 9:24AM"/>
    <s v="Aug 31st; 11:59PM"/>
    <s v="https://www.khanacademy.org/math/algebra/introduction-to-exponential-functions#exponential-expressions-alg1-quiz"/>
    <s v="Quiz"/>
  </r>
  <r>
    <x v="16"/>
    <x v="8"/>
    <n v="4"/>
    <n v="6"/>
    <n v="6"/>
    <n v="100"/>
    <n v="1"/>
    <s v="Jul 10th; 11:17AM"/>
    <s v="Aug 31st; 11:59PM"/>
    <s v="https://www.khanacademy.org/math/algebra/introduction-to-exponential-functions#exponential-expressions-alg1-quiz"/>
    <s v="Quiz"/>
  </r>
  <r>
    <x v="16"/>
    <x v="9"/>
    <n v="4"/>
    <n v="4"/>
    <n v="6"/>
    <n v="66.666666666666657"/>
    <n v="1"/>
    <s v="Jul 10th; 11:17AM"/>
    <s v="Aug 31st; 11:59PM"/>
    <s v="https://www.khanacademy.org/math/algebra/introduction-to-exponential-functions#exponential-expressions-alg1-quiz"/>
    <s v="Quiz"/>
  </r>
  <r>
    <x v="16"/>
    <x v="10"/>
    <n v="4"/>
    <n v="5"/>
    <n v="6"/>
    <n v="83.333333333333343"/>
    <n v="2"/>
    <s v="Jul 19th; 9:29AM"/>
    <s v="Aug 31st; 11:59PM"/>
    <s v="https://www.khanacademy.org/math/algebra/introduction-to-exponential-functions#exponential-expressions-alg1-quiz"/>
    <s v="Quiz"/>
  </r>
  <r>
    <x v="16"/>
    <x v="11"/>
    <n v="5"/>
    <n v="4"/>
    <n v="6"/>
    <n v="66.666666666666657"/>
    <n v="3"/>
    <s v="Jul 19th; 9:19AM"/>
    <s v="Aug 31st; 11:59PM"/>
    <s v="https://www.khanacademy.org/math/algebra/introduction-to-exponential-functions#exponential-expressions-alg1-quiz"/>
    <s v="Quiz"/>
  </r>
  <r>
    <x v="16"/>
    <x v="12"/>
    <n v="4"/>
    <n v="6"/>
    <n v="6"/>
    <n v="100"/>
    <n v="1"/>
    <s v="Jul 10th; 11:17AM"/>
    <s v="Aug 31st; 11:59PM"/>
    <s v="https://www.khanacademy.org/math/algebra/introduction-to-exponential-functions#exponential-expressions-alg1-quiz"/>
    <s v="Quiz"/>
  </r>
  <r>
    <x v="16"/>
    <x v="13"/>
    <n v="5"/>
    <n v="6"/>
    <n v="6"/>
    <n v="100"/>
    <n v="3"/>
    <s v="Jul 19th; 9:19AM"/>
    <s v="Aug 31st; 11:59PM"/>
    <s v="https://www.khanacademy.org/math/algebra/introduction-to-exponential-functions#exponential-expressions-alg1-quiz"/>
    <s v="Quiz"/>
  </r>
  <r>
    <x v="16"/>
    <x v="14"/>
    <n v="4"/>
    <n v="6"/>
    <n v="6"/>
    <n v="100"/>
    <n v="1"/>
    <s v="Jul 10th; 11:17AM"/>
    <s v="Aug 31st; 11:59PM"/>
    <s v="https://www.khanacademy.org/math/algebra/introduction-to-exponential-functions#exponential-expressions-alg1-quiz"/>
    <s v="Quiz"/>
  </r>
  <r>
    <x v="16"/>
    <x v="15"/>
    <n v="4"/>
    <n v="5"/>
    <n v="6"/>
    <n v="83.333333333333343"/>
    <n v="1"/>
    <s v="Jul 10th; 11:17AM"/>
    <s v="Aug 31st; 11:59PM"/>
    <s v="https://www.khanacademy.org/math/algebra/introduction-to-exponential-functions#exponential-expressions-alg1-quiz"/>
    <s v="Quiz"/>
  </r>
  <r>
    <x v="16"/>
    <x v="16"/>
    <n v="4"/>
    <n v="6"/>
    <n v="6"/>
    <n v="100"/>
    <n v="1"/>
    <s v="Jul 10th; 11:17AM"/>
    <s v="Aug 31st; 11:59PM"/>
    <s v="https://www.khanacademy.org/math/algebra/introduction-to-exponential-functions#exponential-expressions-alg1-quiz"/>
    <s v="Quiz"/>
  </r>
  <r>
    <x v="16"/>
    <x v="17"/>
    <n v="4"/>
    <n v="5"/>
    <n v="6"/>
    <n v="83.333333333333343"/>
    <n v="2"/>
    <s v="Jul 19th; 9:24AM"/>
    <s v="Aug 31st; 11:59PM"/>
    <s v="https://www.khanacademy.org/math/algebra/introduction-to-exponential-functions#exponential-expressions-alg1-quiz"/>
    <s v="Quiz"/>
  </r>
  <r>
    <x v="17"/>
    <x v="0"/>
    <n v="5"/>
    <n v="4"/>
    <n v="5"/>
    <n v="80"/>
    <n v="2"/>
    <s v="Jul 19th; 9:19AM"/>
    <s v="Aug 31st; 11:59PM"/>
    <s v="https://www.khanacademy.org/math/algebra/introduction-to-exponential-functions#exponential-functions-from-tables-and-graphs-quiz"/>
    <s v="Quiz"/>
  </r>
  <r>
    <x v="17"/>
    <x v="1"/>
    <n v="4"/>
    <n v="4"/>
    <n v="5"/>
    <n v="80"/>
    <n v="3"/>
    <s v="Aug 21st; 12:30PM"/>
    <s v="Aug 31st; 11:59PM"/>
    <s v="https://www.khanacademy.org/math/algebra/introduction-to-exponential-functions#exponential-functions-from-tables-and-graphs-quiz"/>
    <s v="Quiz"/>
  </r>
  <r>
    <x v="17"/>
    <x v="2"/>
    <n v="4"/>
    <n v="5"/>
    <n v="5"/>
    <n v="100"/>
    <n v="3"/>
    <s v="Aug 23rd; 11:36AM"/>
    <s v="Aug 31st; 11:59PM"/>
    <s v="https://www.khanacademy.org/math/algebra/introduction-to-exponential-functions#exponential-functions-from-tables-and-graphs-quiz"/>
    <s v="Quiz"/>
  </r>
  <r>
    <x v="17"/>
    <x v="3"/>
    <n v="4"/>
    <n v="2"/>
    <n v="5"/>
    <n v="40"/>
    <n v="1"/>
    <s v="Jul 19th; 9:09AM"/>
    <s v="Aug 31st; 11:59PM"/>
    <s v="https://www.khanacademy.org/math/algebra/introduction-to-exponential-functions#exponential-functions-from-tables-and-graphs-quiz"/>
    <s v="Quiz"/>
  </r>
  <r>
    <x v="17"/>
    <x v="4"/>
    <n v="5"/>
    <n v="4"/>
    <n v="5"/>
    <n v="80"/>
    <n v="1"/>
    <s v="Jul 19th; 9:19AM"/>
    <s v="Aug 31st; 11:59PM"/>
    <s v="https://www.khanacademy.org/math/algebra/introduction-to-exponential-functions#exponential-functions-from-tables-and-graphs-quiz"/>
    <s v="Quiz"/>
  </r>
  <r>
    <x v="17"/>
    <x v="5"/>
    <n v="4"/>
    <n v="5"/>
    <n v="5"/>
    <n v="100"/>
    <n v="1"/>
    <s v="Jul 19th; 9:09AM"/>
    <s v="Aug 31st; 11:59PM"/>
    <s v="https://www.khanacademy.org/math/algebra/introduction-to-exponential-functions#exponential-functions-from-tables-and-graphs-quiz"/>
    <s v="Quiz"/>
  </r>
  <r>
    <x v="17"/>
    <x v="6"/>
    <n v="4"/>
    <n v="2"/>
    <n v="5"/>
    <n v="40"/>
    <n v="1"/>
    <s v="Jul 19th; 9:09AM"/>
    <s v="Aug 31st; 11:59PM"/>
    <s v="https://www.khanacademy.org/math/algebra/introduction-to-exponential-functions#exponential-functions-from-tables-and-graphs-quiz"/>
    <s v="Quiz"/>
  </r>
  <r>
    <x v="17"/>
    <x v="7"/>
    <n v="3"/>
    <n v="5"/>
    <n v="5"/>
    <n v="100"/>
    <n v="1"/>
    <s v="Jul 19th; 9:29AM"/>
    <s v="Aug 31st; 11:59PM"/>
    <s v="https://www.khanacademy.org/math/algebra/introduction-to-exponential-functions#exponential-functions-from-tables-and-graphs-quiz"/>
    <s v="Quiz"/>
  </r>
  <r>
    <x v="17"/>
    <x v="8"/>
    <n v="4"/>
    <n v="4"/>
    <n v="5"/>
    <n v="80"/>
    <n v="2"/>
    <s v="Jul 19th; 9:24AM"/>
    <s v="Aug 31st; 11:59PM"/>
    <s v="https://www.khanacademy.org/math/algebra/introduction-to-exponential-functions#exponential-functions-from-tables-and-graphs-quiz"/>
    <s v="Quiz"/>
  </r>
  <r>
    <x v="17"/>
    <x v="9"/>
    <n v="4"/>
    <n v="3"/>
    <n v="5"/>
    <n v="60"/>
    <n v="1"/>
    <s v="Jul 19th; 9:09AM"/>
    <s v="Aug 31st; 11:59PM"/>
    <s v="https://www.khanacademy.org/math/algebra/introduction-to-exponential-functions#exponential-functions-from-tables-and-graphs-quiz"/>
    <s v="Quiz"/>
  </r>
  <r>
    <x v="17"/>
    <x v="10"/>
    <n v="5"/>
    <n v="4"/>
    <n v="5"/>
    <n v="80"/>
    <n v="3"/>
    <s v="Jul 19th; 9:19AM"/>
    <s v="Aug 31st; 11:59PM"/>
    <s v="https://www.khanacademy.org/math/algebra/introduction-to-exponential-functions#exponential-functions-from-tables-and-graphs-quiz"/>
    <s v="Quiz"/>
  </r>
  <r>
    <x v="17"/>
    <x v="12"/>
    <n v="5"/>
    <n v="5"/>
    <n v="5"/>
    <n v="100"/>
    <n v="2"/>
    <s v="Jul 19th; 9:19AM"/>
    <s v="Aug 31st; 11:59PM"/>
    <s v="https://www.khanacademy.org/math/algebra/introduction-to-exponential-functions#exponential-functions-from-tables-and-graphs-quiz"/>
    <s v="Quiz"/>
  </r>
  <r>
    <x v="17"/>
    <x v="13"/>
    <n v="5"/>
    <n v="5"/>
    <n v="5"/>
    <n v="100"/>
    <n v="11"/>
    <s v="Aug 15th; 1:24AM"/>
    <s v="Aug 31st; 11:59PM"/>
    <s v="https://www.khanacademy.org/math/algebra/introduction-to-exponential-functions#exponential-functions-from-tables-and-graphs-quiz"/>
    <s v="Quiz"/>
  </r>
  <r>
    <x v="17"/>
    <x v="14"/>
    <n v="4"/>
    <n v="4"/>
    <n v="5"/>
    <n v="80"/>
    <n v="1"/>
    <s v="Jul 19th; 9:09AM"/>
    <s v="Aug 31st; 11:59PM"/>
    <s v="https://www.khanacademy.org/math/algebra/introduction-to-exponential-functions#exponential-functions-from-tables-and-graphs-quiz"/>
    <s v="Quiz"/>
  </r>
  <r>
    <x v="17"/>
    <x v="15"/>
    <n v="4"/>
    <n v="3"/>
    <n v="5"/>
    <n v="60"/>
    <n v="1"/>
    <s v="Jul 19th; 9:09AM"/>
    <s v="Aug 31st; 11:59PM"/>
    <s v="https://www.khanacademy.org/math/algebra/introduction-to-exponential-functions#exponential-functions-from-tables-and-graphs-quiz"/>
    <s v="Quiz"/>
  </r>
  <r>
    <x v="17"/>
    <x v="16"/>
    <n v="5"/>
    <n v="5"/>
    <n v="5"/>
    <n v="100"/>
    <n v="4"/>
    <s v="Aug 31st; 8:00PM"/>
    <s v="Aug 31st; 11:59PM"/>
    <s v="https://www.khanacademy.org/math/algebra/introduction-to-exponential-functions#exponential-functions-from-tables-and-graphs-quiz"/>
    <s v="Quiz"/>
  </r>
  <r>
    <x v="17"/>
    <x v="17"/>
    <n v="5"/>
    <n v="5"/>
    <n v="5"/>
    <n v="100"/>
    <n v="3"/>
    <s v="Jul 19th; 9:29AM"/>
    <s v="Aug 31st; 11:59PM"/>
    <s v="https://www.khanacademy.org/math/algebra/introduction-to-exponential-functions#exponential-functions-from-tables-and-graphs-quiz"/>
    <s v="Quiz"/>
  </r>
  <r>
    <x v="18"/>
    <x v="0"/>
    <n v="4"/>
    <n v="5"/>
    <n v="5"/>
    <n v="100"/>
    <n v="2"/>
    <s v="Jul 19th; 9:09AM"/>
    <s v="Aug 31st; 11:59PM"/>
    <s v="https://www.khanacademy.org/math/algebra/quadratics#factored-form-alg1-quiz"/>
    <s v="Quiz"/>
  </r>
  <r>
    <x v="18"/>
    <x v="1"/>
    <n v="5"/>
    <n v="4"/>
    <n v="5"/>
    <n v="80"/>
    <n v="5"/>
    <s v="Jul 19th; 9:29AM"/>
    <s v="Aug 31st; 11:59PM"/>
    <s v="https://www.khanacademy.org/math/algebra/quadratics#factored-form-alg1-quiz"/>
    <s v="Quiz"/>
  </r>
  <r>
    <x v="18"/>
    <x v="2"/>
    <n v="5"/>
    <n v="5"/>
    <n v="5"/>
    <n v="100"/>
    <n v="4"/>
    <s v="Jul 19th; 9:29AM"/>
    <s v="Aug 31st; 11:59PM"/>
    <s v="https://www.khanacademy.org/math/algebra/quadratics#factored-form-alg1-quiz"/>
    <s v="Quiz"/>
  </r>
  <r>
    <x v="18"/>
    <x v="3"/>
    <n v="4"/>
    <n v="3"/>
    <n v="5"/>
    <n v="60"/>
    <n v="1"/>
    <s v="Jul 10th; 11:17AM"/>
    <s v="Aug 31st; 11:59PM"/>
    <s v="https://www.khanacademy.org/math/algebra/quadratics#factored-form-alg1-quiz"/>
    <s v="Quiz"/>
  </r>
  <r>
    <x v="18"/>
    <x v="4"/>
    <n v="4"/>
    <n v="5"/>
    <n v="5"/>
    <n v="100"/>
    <n v="5"/>
    <s v="Aug 23rd; 11:36AM"/>
    <s v="Aug 31st; 11:59PM"/>
    <s v="https://www.khanacademy.org/math/algebra/quadratics#factored-form-alg1-quiz"/>
    <s v="Quiz"/>
  </r>
  <r>
    <x v="18"/>
    <x v="5"/>
    <n v="4"/>
    <n v="3"/>
    <n v="5"/>
    <n v="60"/>
    <n v="1"/>
    <s v="Jul 10th; 11:17AM"/>
    <s v="Aug 31st; 11:59PM"/>
    <s v="https://www.khanacademy.org/math/algebra/quadratics#factored-form-alg1-quiz"/>
    <s v="Quiz"/>
  </r>
  <r>
    <x v="18"/>
    <x v="6"/>
    <n v="4"/>
    <n v="4"/>
    <n v="5"/>
    <n v="80"/>
    <n v="1"/>
    <s v="Jul 10th; 11:17AM"/>
    <s v="Aug 31st; 11:59PM"/>
    <s v="https://www.khanacademy.org/math/algebra/quadratics#factored-form-alg1-quiz"/>
    <s v="Quiz"/>
  </r>
  <r>
    <x v="18"/>
    <x v="7"/>
    <n v="5"/>
    <n v="3"/>
    <n v="5"/>
    <n v="60"/>
    <n v="3"/>
    <s v="Jul 19th; 9:19AM"/>
    <s v="Aug 31st; 11:59PM"/>
    <s v="https://www.khanacademy.org/math/algebra/quadratics#factored-form-alg1-quiz"/>
    <s v="Quiz"/>
  </r>
  <r>
    <x v="18"/>
    <x v="8"/>
    <n v="4"/>
    <n v="4"/>
    <n v="5"/>
    <n v="80"/>
    <n v="4"/>
    <s v="Aug 21st; 12:30PM"/>
    <s v="Aug 31st; 11:59PM"/>
    <s v="https://www.khanacademy.org/math/algebra/quadratics#factored-form-alg1-quiz"/>
    <s v="Quiz"/>
  </r>
  <r>
    <x v="18"/>
    <x v="9"/>
    <n v="4"/>
    <n v="4"/>
    <n v="5"/>
    <n v="80"/>
    <n v="1"/>
    <s v="Jul 10th; 11:17AM"/>
    <s v="Aug 31st; 11:59PM"/>
    <s v="https://www.khanacademy.org/math/algebra/quadratics#factored-form-alg1-quiz"/>
    <s v="Quiz"/>
  </r>
  <r>
    <x v="18"/>
    <x v="10"/>
    <n v="4"/>
    <n v="4"/>
    <n v="5"/>
    <n v="80"/>
    <n v="1"/>
    <s v="Jul 10th; 11:17AM"/>
    <s v="Aug 31st; 11:59PM"/>
    <s v="https://www.khanacademy.org/math/algebra/quadratics#factored-form-alg1-quiz"/>
    <s v="Quiz"/>
  </r>
  <r>
    <x v="18"/>
    <x v="11"/>
    <n v="4"/>
    <n v="4"/>
    <n v="5"/>
    <n v="80"/>
    <n v="1"/>
    <s v="Jul 10th; 11:17AM"/>
    <s v="Aug 31st; 11:59PM"/>
    <s v="https://www.khanacademy.org/math/algebra/quadratics#factored-form-alg1-quiz"/>
    <s v="Quiz"/>
  </r>
  <r>
    <x v="18"/>
    <x v="12"/>
    <n v="5"/>
    <n v="5"/>
    <n v="5"/>
    <n v="100"/>
    <n v="10"/>
    <s v="Aug 15th; 1:38AM"/>
    <s v="Aug 31st; 11:59PM"/>
    <s v="https://www.khanacademy.org/math/algebra/quadratics#factored-form-alg1-quiz"/>
    <s v="Quiz"/>
  </r>
  <r>
    <x v="18"/>
    <x v="13"/>
    <n v="5"/>
    <n v="5"/>
    <n v="5"/>
    <n v="100"/>
    <n v="3"/>
    <s v="Jul 19th; 9:19AM"/>
    <s v="Aug 31st; 11:59PM"/>
    <s v="https://www.khanacademy.org/math/algebra/quadratics#factored-form-alg1-quiz"/>
    <s v="Quiz"/>
  </r>
  <r>
    <x v="18"/>
    <x v="14"/>
    <n v="4"/>
    <n v="5"/>
    <n v="5"/>
    <n v="100"/>
    <n v="2"/>
    <s v="Jul 19th; 9:09AM"/>
    <s v="Aug 31st; 11:59PM"/>
    <s v="https://www.khanacademy.org/math/algebra/quadratics#factored-form-alg1-quiz"/>
    <s v="Quiz"/>
  </r>
  <r>
    <x v="18"/>
    <x v="15"/>
    <n v="4"/>
    <n v="3"/>
    <n v="5"/>
    <n v="60"/>
    <n v="1"/>
    <s v="Jul 10th; 11:17AM"/>
    <s v="Aug 31st; 11:59PM"/>
    <s v="https://www.khanacademy.org/math/algebra/quadratics#factored-form-alg1-quiz"/>
    <s v="Quiz"/>
  </r>
  <r>
    <x v="18"/>
    <x v="16"/>
    <n v="4"/>
    <n v="4"/>
    <n v="5"/>
    <n v="80"/>
    <n v="1"/>
    <s v="Jul 10th; 11:17AM"/>
    <s v="Aug 31st; 11:59PM"/>
    <s v="https://www.khanacademy.org/math/algebra/quadratics#factored-form-alg1-quiz"/>
    <s v="Quiz"/>
  </r>
  <r>
    <x v="18"/>
    <x v="17"/>
    <n v="5"/>
    <n v="5"/>
    <n v="5"/>
    <n v="100"/>
    <n v="2"/>
    <s v="Jul 19th; 9:19AM"/>
    <s v="Aug 31st; 11:59PM"/>
    <s v="https://www.khanacademy.org/math/algebra/quadratics#factored-form-alg1-quiz"/>
    <s v="Quiz"/>
  </r>
  <r>
    <x v="19"/>
    <x v="0"/>
    <n v="5"/>
    <n v="6"/>
    <n v="6"/>
    <n v="100"/>
    <n v="1"/>
    <s v="Jul 19th; 9:19AM"/>
    <s v="Aug 31st; 11:59PM"/>
    <s v="https://www.khanacademy.org/math/algebra/quadratics#vertex-form-alg1-quiz"/>
    <s v="Quiz"/>
  </r>
  <r>
    <x v="19"/>
    <x v="1"/>
    <n v="4"/>
    <n v="5"/>
    <n v="6"/>
    <n v="83.333333333333343"/>
    <n v="1"/>
    <s v="Aug 21st; 12:30PM"/>
    <s v="Aug 31st; 11:59PM"/>
    <s v="https://www.khanacademy.org/math/algebra/quadratics#vertex-form-alg1-quiz"/>
    <s v="Quiz"/>
  </r>
  <r>
    <x v="19"/>
    <x v="2"/>
    <n v="5"/>
    <n v="5"/>
    <n v="6"/>
    <n v="83.333333333333343"/>
    <n v="4"/>
    <s v="Jul 26th; 2:07PM"/>
    <s v="Aug 31st; 11:59PM"/>
    <s v="https://www.khanacademy.org/math/algebra/quadratics#vertex-form-alg1-quiz"/>
    <s v="Quiz"/>
  </r>
  <r>
    <x v="19"/>
    <x v="3"/>
    <n v="4"/>
    <n v="6"/>
    <n v="6"/>
    <n v="100"/>
    <n v="1"/>
    <s v="Jul 19th; 9:09AM"/>
    <s v="Aug 31st; 11:59PM"/>
    <s v="https://www.khanacademy.org/math/algebra/quadratics#vertex-form-alg1-quiz"/>
    <s v="Quiz"/>
  </r>
  <r>
    <x v="19"/>
    <x v="4"/>
    <n v="5"/>
    <n v="6"/>
    <n v="6"/>
    <n v="100"/>
    <n v="3"/>
    <s v="Jul 19th; 9:29AM"/>
    <s v="Aug 31st; 11:59PM"/>
    <s v="https://www.khanacademy.org/math/algebra/quadratics#vertex-form-alg1-quiz"/>
    <s v="Quiz"/>
  </r>
  <r>
    <x v="19"/>
    <x v="5"/>
    <n v="5"/>
    <n v="5"/>
    <n v="6"/>
    <n v="83.333333333333343"/>
    <n v="1"/>
    <s v="Jul 19th; 9:19AM"/>
    <s v="Aug 31st; 11:59PM"/>
    <s v="https://www.khanacademy.org/math/algebra/quadratics#vertex-form-alg1-quiz"/>
    <s v="Quiz"/>
  </r>
  <r>
    <x v="19"/>
    <x v="6"/>
    <n v="4"/>
    <n v="5"/>
    <n v="6"/>
    <n v="83.333333333333343"/>
    <n v="1"/>
    <s v="Jul 19th; 9:09AM"/>
    <s v="Aug 31st; 11:59PM"/>
    <s v="https://www.khanacademy.org/math/algebra/quadratics#vertex-form-alg1-quiz"/>
    <s v="Quiz"/>
  </r>
  <r>
    <x v="19"/>
    <x v="7"/>
    <n v="4"/>
    <n v="4"/>
    <n v="6"/>
    <n v="66.666666666666657"/>
    <n v="1"/>
    <s v="Jul 19th; 9:24AM"/>
    <s v="Aug 31st; 11:59PM"/>
    <s v="https://www.khanacademy.org/math/algebra/quadratics#vertex-form-alg1-quiz"/>
    <s v="Quiz"/>
  </r>
  <r>
    <x v="19"/>
    <x v="8"/>
    <n v="5"/>
    <n v="4"/>
    <n v="6"/>
    <n v="66.666666666666657"/>
    <n v="2"/>
    <s v="Aug 23rd; 11:36AM"/>
    <s v="Aug 31st; 11:59PM"/>
    <s v="https://www.khanacademy.org/math/algebra/quadratics#vertex-form-alg1-quiz"/>
    <s v="Quiz"/>
  </r>
  <r>
    <x v="19"/>
    <x v="9"/>
    <n v="4"/>
    <n v="6"/>
    <n v="6"/>
    <n v="100"/>
    <n v="1"/>
    <s v="Jul 19th; 9:09AM"/>
    <s v="Aug 31st; 11:59PM"/>
    <s v="https://www.khanacademy.org/math/algebra/quadratics#vertex-form-alg1-quiz"/>
    <s v="Quiz"/>
  </r>
  <r>
    <x v="19"/>
    <x v="10"/>
    <n v="5"/>
    <n v="4"/>
    <n v="6"/>
    <n v="66.666666666666657"/>
    <n v="6"/>
    <s v="Aug 14th; 6:50PM"/>
    <s v="Aug 31st; 11:59PM"/>
    <s v="https://www.khanacademy.org/math/algebra/quadratics#vertex-form-alg1-quiz"/>
    <s v="Quiz"/>
  </r>
  <r>
    <x v="19"/>
    <x v="11"/>
    <n v="4"/>
    <n v="6"/>
    <n v="6"/>
    <n v="100"/>
    <n v="1"/>
    <s v="Jul 19th; 9:09AM"/>
    <s v="Aug 31st; 11:59PM"/>
    <s v="https://www.khanacademy.org/math/algebra/quadratics#vertex-form-alg1-quiz"/>
    <s v="Quiz"/>
  </r>
  <r>
    <x v="19"/>
    <x v="12"/>
    <n v="4"/>
    <n v="6"/>
    <n v="6"/>
    <n v="100"/>
    <n v="3"/>
    <s v="Aug 7th; 8:45PM"/>
    <s v="Aug 31st; 11:59PM"/>
    <s v="https://www.khanacademy.org/math/algebra/quadratics#vertex-form-alg1-quiz"/>
    <s v="Quiz"/>
  </r>
  <r>
    <x v="19"/>
    <x v="13"/>
    <n v="5"/>
    <n v="6"/>
    <n v="6"/>
    <n v="100"/>
    <n v="8"/>
    <s v="Aug 14th; 6:50PM"/>
    <s v="Aug 31st; 11:59PM"/>
    <s v="https://www.khanacademy.org/math/algebra/quadratics#vertex-form-alg1-quiz"/>
    <s v="Quiz"/>
  </r>
  <r>
    <x v="19"/>
    <x v="14"/>
    <n v="5"/>
    <n v="6"/>
    <n v="6"/>
    <n v="100"/>
    <n v="1"/>
    <s v="Jul 19th; 9:19AM"/>
    <s v="Aug 31st; 11:59PM"/>
    <s v="https://www.khanacademy.org/math/algebra/quadratics#vertex-form-alg1-quiz"/>
    <s v="Quiz"/>
  </r>
  <r>
    <x v="19"/>
    <x v="15"/>
    <n v="4"/>
    <n v="3"/>
    <n v="6"/>
    <n v="50"/>
    <n v="1"/>
    <s v="Jul 19th; 9:09AM"/>
    <s v="Aug 31st; 11:59PM"/>
    <s v="https://www.khanacademy.org/math/algebra/quadratics#vertex-form-alg1-quiz"/>
    <s v="Quiz"/>
  </r>
  <r>
    <x v="19"/>
    <x v="16"/>
    <n v="4"/>
    <n v="6"/>
    <n v="6"/>
    <n v="100"/>
    <n v="1"/>
    <s v="Jul 19th; 9:09AM"/>
    <s v="Aug 31st; 11:59PM"/>
    <s v="https://www.khanacademy.org/math/algebra/quadratics#vertex-form-alg1-quiz"/>
    <s v="Quiz"/>
  </r>
  <r>
    <x v="19"/>
    <x v="17"/>
    <n v="4"/>
    <n v="6"/>
    <n v="6"/>
    <n v="100"/>
    <n v="2"/>
    <s v="Jul 19th; 9:24AM"/>
    <s v="Aug 31st; 11:59PM"/>
    <s v="https://www.khanacademy.org/math/algebra/quadratics#vertex-form-alg1-quiz"/>
    <s v="Quiz"/>
  </r>
  <r>
    <x v="20"/>
    <x v="0"/>
    <n v="4"/>
    <n v="5"/>
    <n v="5"/>
    <n v="100"/>
    <n v="1"/>
    <s v="Jul 19th; 9:24AM"/>
    <s v="Aug 31st; 11:59PM"/>
    <s v="https://www.khanacademy.org/math/algebra/quadratics#solving-quadratics-by-completing-the-square-quiz"/>
    <s v="Quiz"/>
  </r>
  <r>
    <x v="20"/>
    <x v="1"/>
    <n v="5"/>
    <n v="4"/>
    <n v="5"/>
    <n v="80"/>
    <n v="3"/>
    <s v="Jul 26th; 2:07PM"/>
    <s v="Aug 31st; 11:59PM"/>
    <s v="https://www.khanacademy.org/math/algebra/quadratics#solving-quadratics-by-completing-the-square-quiz"/>
    <s v="Quiz"/>
  </r>
  <r>
    <x v="20"/>
    <x v="2"/>
    <n v="4"/>
    <n v="4"/>
    <n v="5"/>
    <n v="80"/>
    <n v="3"/>
    <s v="Aug 14th; 6:58PM"/>
    <s v="Aug 31st; 11:59PM"/>
    <s v="https://www.khanacademy.org/math/algebra/quadratics#solving-quadratics-by-completing-the-square-quiz"/>
    <s v="Quiz"/>
  </r>
  <r>
    <x v="20"/>
    <x v="3"/>
    <n v="5"/>
    <n v="3"/>
    <n v="5"/>
    <n v="60"/>
    <n v="1"/>
    <s v="Jul 19th; 9:19AM"/>
    <s v="Aug 31st; 11:59PM"/>
    <s v="https://www.khanacademy.org/math/algebra/quadratics#solving-quadratics-by-completing-the-square-quiz"/>
    <s v="Quiz"/>
  </r>
  <r>
    <x v="20"/>
    <x v="4"/>
    <n v="5"/>
    <n v="4"/>
    <n v="5"/>
    <n v="80"/>
    <n v="10"/>
    <s v="Aug 7th; 7:57PM"/>
    <s v="Aug 31st; 11:59PM"/>
    <s v="https://www.khanacademy.org/math/algebra/quadratics#solving-quadratics-by-completing-the-square-quiz"/>
    <s v="Quiz"/>
  </r>
  <r>
    <x v="20"/>
    <x v="5"/>
    <n v="4"/>
    <n v="3"/>
    <n v="5"/>
    <n v="60"/>
    <n v="1"/>
    <s v="Jul 19th; 9:24AM"/>
    <s v="Aug 31st; 11:59PM"/>
    <s v="https://www.khanacademy.org/math/algebra/quadratics#solving-quadratics-by-completing-the-square-quiz"/>
    <s v="Quiz"/>
  </r>
  <r>
    <x v="20"/>
    <x v="6"/>
    <n v="5"/>
    <n v="4"/>
    <n v="5"/>
    <n v="80"/>
    <n v="1"/>
    <s v="Jul 19th; 9:19AM"/>
    <s v="Aug 31st; 11:59PM"/>
    <s v="https://www.khanacademy.org/math/algebra/quadratics#solving-quadratics-by-completing-the-square-quiz"/>
    <s v="Quiz"/>
  </r>
  <r>
    <x v="20"/>
    <x v="7"/>
    <n v="3"/>
    <n v="2"/>
    <n v="5"/>
    <n v="40"/>
    <n v="1"/>
    <s v="Jul 19th; 9:29AM"/>
    <s v="Aug 31st; 11:59PM"/>
    <s v="https://www.khanacademy.org/math/algebra/quadratics#solving-quadratics-by-completing-the-square-quiz"/>
    <s v="Quiz"/>
  </r>
  <r>
    <x v="20"/>
    <x v="8"/>
    <m/>
    <n v="4"/>
    <n v="5"/>
    <n v="80"/>
    <n v="0"/>
    <s v="Aug 13th; 1:23PM"/>
    <s v="Aug 31st; 11:59PM"/>
    <s v="https://www.khanacademy.org/math/algebra/quadratics#solving-quadratics-by-completing-the-square-quiz"/>
    <s v="Quiz"/>
  </r>
  <r>
    <x v="20"/>
    <x v="9"/>
    <n v="5"/>
    <n v="5"/>
    <n v="5"/>
    <n v="100"/>
    <n v="1"/>
    <s v="Jul 19th; 9:19AM"/>
    <s v="Aug 31st; 11:59PM"/>
    <s v="https://www.khanacademy.org/math/algebra/quadratics#solving-quadratics-by-completing-the-square-quiz"/>
    <s v="Quiz"/>
  </r>
  <r>
    <x v="20"/>
    <x v="10"/>
    <n v="4"/>
    <n v="4"/>
    <n v="5"/>
    <n v="80"/>
    <n v="1"/>
    <s v="Aug 21st; 12:30PM"/>
    <s v="Aug 31st; 11:59PM"/>
    <s v="https://www.khanacademy.org/math/algebra/quadratics#solving-quadratics-by-completing-the-square-quiz"/>
    <s v="Quiz"/>
  </r>
  <r>
    <x v="20"/>
    <x v="11"/>
    <n v="5"/>
    <n v="2"/>
    <n v="5"/>
    <n v="40"/>
    <n v="1"/>
    <s v="Jul 19th; 9:19AM"/>
    <s v="Aug 31st; 11:59PM"/>
    <s v="https://www.khanacademy.org/math/algebra/quadratics#solving-quadratics-by-completing-the-square-quiz"/>
    <s v="Quiz"/>
  </r>
  <r>
    <x v="20"/>
    <x v="12"/>
    <n v="12"/>
    <n v="5"/>
    <n v="5"/>
    <n v="100"/>
    <n v="2"/>
    <s v="Aug 7th; 8:23PM"/>
    <s v="Aug 31st; 11:59PM"/>
    <s v="https://www.khanacademy.org/math/algebra/quadratics#solving-quadratics-by-completing-the-square-quiz"/>
    <s v="Quiz"/>
  </r>
  <r>
    <x v="20"/>
    <x v="13"/>
    <n v="5"/>
    <n v="5"/>
    <n v="5"/>
    <n v="100"/>
    <n v="9"/>
    <s v="Aug 15th; 4:14PM"/>
    <s v="Aug 31st; 11:59PM"/>
    <s v="https://www.khanacademy.org/math/algebra/quadratics#solving-quadratics-by-completing-the-square-quiz"/>
    <s v="Quiz"/>
  </r>
  <r>
    <x v="20"/>
    <x v="14"/>
    <n v="4"/>
    <n v="4"/>
    <n v="5"/>
    <n v="80"/>
    <n v="1"/>
    <s v="Jul 19th; 9:24AM"/>
    <s v="Aug 31st; 11:59PM"/>
    <s v="https://www.khanacademy.org/math/algebra/quadratics#solving-quadratics-by-completing-the-square-quiz"/>
    <s v="Quiz"/>
  </r>
  <r>
    <x v="20"/>
    <x v="15"/>
    <n v="5"/>
    <n v="3"/>
    <n v="5"/>
    <n v="60"/>
    <n v="1"/>
    <s v="Jul 19th; 9:19AM"/>
    <s v="Aug 31st; 11:59PM"/>
    <s v="https://www.khanacademy.org/math/algebra/quadratics#solving-quadratics-by-completing-the-square-quiz"/>
    <s v="Quiz"/>
  </r>
  <r>
    <x v="20"/>
    <x v="16"/>
    <n v="5"/>
    <n v="4"/>
    <n v="5"/>
    <n v="80"/>
    <n v="4"/>
    <s v="Aug 14th; 6:50PM"/>
    <s v="Aug 31st; 11:59PM"/>
    <s v="https://www.khanacademy.org/math/algebra/quadratics#solving-quadratics-by-completing-the-square-quiz"/>
    <s v="Quiz"/>
  </r>
  <r>
    <x v="20"/>
    <x v="17"/>
    <n v="5"/>
    <n v="5"/>
    <n v="5"/>
    <n v="100"/>
    <n v="8"/>
    <s v="Aug 7th; 8:23PM"/>
    <s v="Aug 31st; 11:59PM"/>
    <s v="https://www.khanacademy.org/math/algebra/quadratics#solving-quadratics-by-completing-the-square-quiz"/>
    <s v="Quiz"/>
  </r>
  <r>
    <x v="21"/>
    <x v="0"/>
    <n v="3"/>
    <n v="5"/>
    <n v="5"/>
    <n v="100"/>
    <n v="1"/>
    <s v="Jul 19th; 9:29AM"/>
    <s v="Aug 31st; 11:59PM"/>
    <s v="https://www.khanacademy.org/math/algebra/quadratics#quad-standard-form-alg1-quiz"/>
    <s v="Quiz"/>
  </r>
  <r>
    <x v="21"/>
    <x v="1"/>
    <n v="4"/>
    <n v="4"/>
    <n v="5"/>
    <n v="80"/>
    <n v="1"/>
    <s v="Aug 2nd; 7:22PM"/>
    <s v="Aug 31st; 11:59PM"/>
    <s v="https://www.khanacademy.org/math/algebra/quadratics#quad-standard-form-alg1-quiz"/>
    <s v="Quiz"/>
  </r>
  <r>
    <x v="21"/>
    <x v="2"/>
    <n v="5"/>
    <n v="4"/>
    <n v="5"/>
    <n v="80"/>
    <n v="1"/>
    <s v="Aug 2nd; 8:14PM"/>
    <s v="Aug 31st; 11:59PM"/>
    <s v="https://www.khanacademy.org/math/algebra/quadratics#quad-standard-form-alg1-quiz"/>
    <s v="Quiz"/>
  </r>
  <r>
    <x v="21"/>
    <x v="3"/>
    <m/>
    <n v="4"/>
    <n v="5"/>
    <n v="80"/>
    <n v="0"/>
    <s v="Aug 15th; 12:01PM"/>
    <s v="Aug 31st; 11:59PM"/>
    <s v="https://www.khanacademy.org/math/algebra/quadratics#quad-standard-form-alg1-quiz"/>
    <s v="Quiz"/>
  </r>
  <r>
    <x v="21"/>
    <x v="4"/>
    <n v="12"/>
    <n v="4"/>
    <n v="5"/>
    <n v="80"/>
    <n v="2"/>
    <s v="Aug 15th; 4:08PM"/>
    <s v="Aug 31st; 11:59PM"/>
    <s v="https://www.khanacademy.org/math/algebra/quadratics#quad-standard-form-alg1-quiz"/>
    <s v="Quiz"/>
  </r>
  <r>
    <x v="21"/>
    <x v="5"/>
    <n v="3"/>
    <n v="3"/>
    <n v="5"/>
    <n v="60"/>
    <n v="1"/>
    <s v="Jul 19th; 9:29AM"/>
    <s v="Aug 31st; 11:59PM"/>
    <s v="https://www.khanacademy.org/math/algebra/quadratics#quad-standard-form-alg1-quiz"/>
    <s v="Quiz"/>
  </r>
  <r>
    <x v="21"/>
    <x v="6"/>
    <m/>
    <n v="3"/>
    <n v="5"/>
    <n v="60"/>
    <n v="0"/>
    <s v="Aug 27th; 6:48PM"/>
    <s v="Aug 31st; 11:59PM"/>
    <s v="https://www.khanacademy.org/math/algebra/quadratics#quad-standard-form-alg1-quiz"/>
    <s v="Quiz"/>
  </r>
  <r>
    <x v="21"/>
    <x v="7"/>
    <m/>
    <n v="4"/>
    <n v="5"/>
    <n v="80"/>
    <n v="0"/>
    <s v="Aug 21st; 1:02PM"/>
    <s v="Aug 31st; 11:59PM"/>
    <s v="https://www.khanacademy.org/math/algebra/quadratics#quad-standard-form-alg1-quiz"/>
    <s v="Quiz"/>
  </r>
  <r>
    <x v="21"/>
    <x v="8"/>
    <n v="3"/>
    <n v="4"/>
    <n v="5"/>
    <n v="80"/>
    <n v="1"/>
    <s v="Jul 19th; 9:29AM"/>
    <s v="Aug 31st; 11:59PM"/>
    <s v="https://www.khanacademy.org/math/algebra/quadratics#quad-standard-form-alg1-quiz"/>
    <s v="Quiz"/>
  </r>
  <r>
    <x v="21"/>
    <x v="9"/>
    <m/>
    <n v="3"/>
    <n v="5"/>
    <n v="60"/>
    <n v="0"/>
    <s v="Aug 28th; 4:21PM"/>
    <s v="Aug 31st; 11:59PM"/>
    <s v="https://www.khanacademy.org/math/algebra/quadratics#quad-standard-form-alg1-quiz"/>
    <s v="Quiz"/>
  </r>
  <r>
    <x v="21"/>
    <x v="10"/>
    <n v="4"/>
    <n v="5"/>
    <n v="5"/>
    <n v="100"/>
    <n v="2"/>
    <s v="Jul 19th; 9:29AM"/>
    <s v="Aug 31st; 11:59PM"/>
    <s v="https://www.khanacademy.org/math/algebra/quadratics#quad-standard-form-alg1-quiz"/>
    <s v="Quiz"/>
  </r>
  <r>
    <x v="21"/>
    <x v="11"/>
    <m/>
    <n v="2"/>
    <n v="5"/>
    <n v="40"/>
    <n v="0"/>
    <s v="Aug 31st; 6:47PM"/>
    <s v="Aug 31st; 11:59PM"/>
    <s v="https://www.khanacademy.org/math/algebra/quadratics#quad-standard-form-alg1-quiz"/>
    <s v="Quiz"/>
  </r>
  <r>
    <x v="21"/>
    <x v="12"/>
    <n v="5"/>
    <n v="5"/>
    <n v="5"/>
    <n v="100"/>
    <n v="6"/>
    <s v="Aug 21st; 12:30PM"/>
    <s v="Aug 31st; 11:59PM"/>
    <s v="https://www.khanacademy.org/math/algebra/quadratics#quad-standard-form-alg1-quiz"/>
    <s v="Quiz"/>
  </r>
  <r>
    <x v="21"/>
    <x v="13"/>
    <n v="4"/>
    <n v="5"/>
    <n v="5"/>
    <n v="100"/>
    <n v="1"/>
    <s v="Aug 15th; 4:18PM"/>
    <s v="Aug 31st; 11:59PM"/>
    <s v="https://www.khanacademy.org/math/algebra/quadratics#quad-standard-form-alg1-quiz"/>
    <s v="Quiz"/>
  </r>
  <r>
    <x v="21"/>
    <x v="14"/>
    <n v="3"/>
    <n v="5"/>
    <n v="5"/>
    <n v="100"/>
    <n v="1"/>
    <s v="Jul 19th; 9:29AM"/>
    <s v="Aug 31st; 11:59PM"/>
    <s v="https://www.khanacademy.org/math/algebra/quadratics#quad-standard-form-alg1-quiz"/>
    <s v="Quiz"/>
  </r>
  <r>
    <x v="21"/>
    <x v="15"/>
    <m/>
    <n v="5"/>
    <n v="5"/>
    <n v="100"/>
    <n v="0"/>
    <s v="Aug 25th; 7:48PM"/>
    <s v="Aug 31st; 11:59PM"/>
    <s v="https://www.khanacademy.org/math/algebra/quadratics#quad-standard-form-alg1-quiz"/>
    <s v="Quiz"/>
  </r>
  <r>
    <x v="21"/>
    <x v="16"/>
    <n v="4"/>
    <n v="5"/>
    <n v="5"/>
    <n v="100"/>
    <n v="3"/>
    <s v="Aug 21st; 12:30PM"/>
    <s v="Aug 31st; 11:59PM"/>
    <s v="https://www.khanacademy.org/math/algebra/quadratics#quad-standard-form-alg1-quiz"/>
    <s v="Quiz"/>
  </r>
  <r>
    <x v="21"/>
    <x v="17"/>
    <n v="4"/>
    <n v="5"/>
    <n v="5"/>
    <n v="100"/>
    <n v="2"/>
    <s v="Aug 15th; 1:24AM"/>
    <s v="Aug 31st; 11:59PM"/>
    <s v="https://www.khanacademy.org/math/algebra/quadratics#quad-standard-form-alg1-quiz"/>
    <s v="Quiz"/>
  </r>
  <r>
    <x v="22"/>
    <x v="0"/>
    <m/>
    <n v="20"/>
    <n v="22"/>
    <n v="90.909090909090907"/>
    <n v="0"/>
    <s v="Aug 31st; 5:50PM"/>
    <s v="Aug 31st; 11:59PM"/>
    <s v="https://www.khanacademy.org/math/algebra/quadratics#quadratics-unit-test"/>
    <s v="Unit Test"/>
  </r>
  <r>
    <x v="22"/>
    <x v="1"/>
    <n v="1"/>
    <n v="19"/>
    <n v="23"/>
    <n v="82.608695652173907"/>
    <n v="1"/>
    <s v="Aug 14th; 6:50PM"/>
    <s v="Aug 31st; 11:59PM"/>
    <s v="https://www.khanacademy.org/math/algebra/quadratics#quadratics-unit-test"/>
    <s v="Unit Test"/>
  </r>
  <r>
    <x v="22"/>
    <x v="2"/>
    <n v="12"/>
    <n v="11"/>
    <n v="23"/>
    <n v="47.826086956521742"/>
    <n v="2"/>
    <s v="Aug 7th; 8:23PM"/>
    <s v="Aug 31st; 11:59PM"/>
    <s v="https://www.khanacademy.org/math/algebra/quadratics#quadratics-unit-test"/>
    <s v="Unit Test"/>
  </r>
  <r>
    <x v="22"/>
    <x v="3"/>
    <n v="3"/>
    <n v="17"/>
    <n v="23"/>
    <n v="73.91304347826086"/>
    <n v="1"/>
    <s v="Jul 19th; 9:29AM"/>
    <s v="Aug 31st; 11:59PM"/>
    <s v="https://www.khanacademy.org/math/algebra/quadratics#quadratics-unit-test"/>
    <s v="Unit Test"/>
  </r>
  <r>
    <x v="22"/>
    <x v="4"/>
    <n v="3"/>
    <n v="18"/>
    <n v="22"/>
    <n v="81.818181818181827"/>
    <n v="1"/>
    <s v="Aug 15th; 4:14PM"/>
    <s v="Aug 31st; 11:59PM"/>
    <s v="https://www.khanacademy.org/math/algebra/quadratics#quadratics-unit-test"/>
    <s v="Unit Test"/>
  </r>
  <r>
    <x v="22"/>
    <x v="5"/>
    <m/>
    <n v="15"/>
    <n v="22"/>
    <n v="68.181818181818173"/>
    <n v="0"/>
    <s v="Aug 28th; 6:30PM"/>
    <s v="Aug 31st; 11:59PM"/>
    <s v="https://www.khanacademy.org/math/algebra/quadratics#quadratics-unit-test"/>
    <s v="Unit Test"/>
  </r>
  <r>
    <x v="22"/>
    <x v="6"/>
    <n v="4"/>
    <n v="16"/>
    <n v="22"/>
    <n v="72.727272727272734"/>
    <n v="1"/>
    <s v="Jul 19th; 9:24AM"/>
    <s v="Aug 31st; 11:59PM"/>
    <s v="https://www.khanacademy.org/math/algebra/quadratics#quadratics-unit-test"/>
    <s v="Unit Test"/>
  </r>
  <r>
    <x v="22"/>
    <x v="7"/>
    <n v="4"/>
    <n v="16"/>
    <n v="22"/>
    <n v="72.727272727272734"/>
    <n v="1"/>
    <s v="Aug 21st; 12:30PM"/>
    <s v="Aug 31st; 11:59PM"/>
    <s v="https://www.khanacademy.org/math/algebra/quadratics#quadratics-unit-test"/>
    <s v="Unit Test"/>
  </r>
  <r>
    <x v="22"/>
    <x v="8"/>
    <n v="5"/>
    <n v="17"/>
    <n v="22"/>
    <n v="77.272727272727266"/>
    <n v="2"/>
    <s v="Aug 14th; 6:50PM"/>
    <s v="Aug 31st; 11:59PM"/>
    <s v="https://www.khanacademy.org/math/algebra/quadratics#quadratics-unit-test"/>
    <s v="Unit Test"/>
  </r>
  <r>
    <x v="22"/>
    <x v="9"/>
    <n v="4"/>
    <n v="20"/>
    <n v="23"/>
    <n v="86.956521739130437"/>
    <n v="1"/>
    <s v="Jul 19th; 9:24AM"/>
    <s v="Aug 31st; 11:59PM"/>
    <s v="https://www.khanacademy.org/math/algebra/quadratics#quadratics-unit-test"/>
    <s v="Unit Test"/>
  </r>
  <r>
    <x v="22"/>
    <x v="10"/>
    <n v="5"/>
    <n v="15"/>
    <n v="23"/>
    <n v="65.217391304347828"/>
    <n v="2"/>
    <s v="Aug 2nd; 8:14PM"/>
    <s v="Aug 31st; 11:59PM"/>
    <s v="https://www.khanacademy.org/math/algebra/quadratics#quadratics-unit-test"/>
    <s v="Unit Test"/>
  </r>
  <r>
    <x v="22"/>
    <x v="11"/>
    <n v="3"/>
    <n v="14"/>
    <n v="23"/>
    <n v="60.869565217391312"/>
    <n v="1"/>
    <s v="Jul 19th; 9:29AM"/>
    <s v="Aug 31st; 11:59PM"/>
    <s v="https://www.khanacademy.org/math/algebra/quadratics#quadratics-unit-test"/>
    <s v="Unit Test"/>
  </r>
  <r>
    <x v="22"/>
    <x v="12"/>
    <n v="5"/>
    <n v="14"/>
    <n v="22"/>
    <n v="63.636363636363633"/>
    <n v="5"/>
    <s v="Aug 7th; 9:02PM"/>
    <s v="Aug 31st; 11:59PM"/>
    <s v="https://www.khanacademy.org/math/algebra/quadratics#quadratics-unit-test"/>
    <s v="Unit Test"/>
  </r>
  <r>
    <x v="22"/>
    <x v="13"/>
    <n v="5"/>
    <n v="22"/>
    <n v="22"/>
    <n v="100"/>
    <n v="17"/>
    <s v="Aug 15th; 5:40PM"/>
    <s v="Aug 31st; 11:59PM"/>
    <s v="https://www.khanacademy.org/math/algebra/quadratics#quadratics-unit-test"/>
    <s v="Unit Test"/>
  </r>
  <r>
    <x v="22"/>
    <x v="14"/>
    <m/>
    <n v="21"/>
    <n v="23"/>
    <n v="91.304347826086953"/>
    <n v="0"/>
    <s v="Aug 30th; 3:03PM"/>
    <s v="Aug 31st; 11:59PM"/>
    <s v="https://www.khanacademy.org/math/algebra/quadratics#quadratics-unit-test"/>
    <s v="Unit Test"/>
  </r>
  <r>
    <x v="22"/>
    <x v="15"/>
    <n v="3"/>
    <n v="12"/>
    <n v="23"/>
    <n v="52.173913043478258"/>
    <n v="1"/>
    <s v="Jul 19th; 9:29AM"/>
    <s v="Aug 31st; 11:59PM"/>
    <s v="https://www.khanacademy.org/math/algebra/quadratics#quadratics-unit-test"/>
    <s v="Unit Test"/>
  </r>
  <r>
    <x v="22"/>
    <x v="16"/>
    <n v="4"/>
    <n v="19"/>
    <n v="22"/>
    <n v="86.36363636363636"/>
    <n v="2"/>
    <s v="Aug 14th; 6:58PM"/>
    <s v="Aug 31st; 11:59PM"/>
    <s v="https://www.khanacademy.org/math/algebra/quadratics#quadratics-unit-test"/>
    <s v="Unit Test"/>
  </r>
  <r>
    <x v="22"/>
    <x v="17"/>
    <n v="3"/>
    <n v="18"/>
    <n v="22"/>
    <n v="81.818181818181827"/>
    <n v="2"/>
    <s v="Aug 15th; 1:30AM"/>
    <s v="Aug 31st; 11:59PM"/>
    <s v="https://www.khanacademy.org/math/algebra/quadratics#quadratics-unit-test"/>
    <s v="Unit Test"/>
  </r>
  <r>
    <x v="23"/>
    <x v="0"/>
    <n v="4"/>
    <n v="6"/>
    <n v="6"/>
    <n v="100"/>
    <n v="1"/>
    <s v="Aug 21st; 12:30PM"/>
    <s v="Aug 31st; 11:59PM"/>
    <s v="https://www.khanacademy.org/math/algebra/quadratics#transforming-quadratic-functions-quiz"/>
    <s v="Quiz"/>
  </r>
  <r>
    <x v="23"/>
    <x v="1"/>
    <n v="1"/>
    <n v="5"/>
    <n v="6"/>
    <n v="83.333333333333343"/>
    <n v="1"/>
    <s v="Aug 14th; 6:58PM"/>
    <s v="Aug 31st; 11:59PM"/>
    <s v="https://www.khanacademy.org/math/algebra/quadratics#transforming-quadratic-functions-quiz"/>
    <s v="Quiz"/>
  </r>
  <r>
    <x v="23"/>
    <x v="2"/>
    <n v="4"/>
    <n v="5"/>
    <n v="6"/>
    <n v="83.333333333333343"/>
    <n v="4"/>
    <s v="Aug 7th; 7:57PM"/>
    <s v="Aug 31st; 11:59PM"/>
    <s v="https://www.khanacademy.org/math/algebra/quadratics#transforming-quadratic-functions-quiz"/>
    <s v="Quiz"/>
  </r>
  <r>
    <x v="23"/>
    <x v="3"/>
    <n v="4"/>
    <n v="3"/>
    <n v="6"/>
    <n v="50"/>
    <n v="1"/>
    <s v="Jul 19th; 9:24AM"/>
    <s v="Aug 31st; 11:59PM"/>
    <s v="https://www.khanacademy.org/math/algebra/quadratics#transforming-quadratic-functions-quiz"/>
    <s v="Quiz"/>
  </r>
  <r>
    <x v="23"/>
    <x v="4"/>
    <n v="4"/>
    <n v="6"/>
    <n v="6"/>
    <n v="100"/>
    <n v="2"/>
    <s v="Aug 7th; 8:40PM"/>
    <s v="Aug 31st; 11:59PM"/>
    <s v="https://www.khanacademy.org/math/algebra/quadratics#transforming-quadratic-functions-quiz"/>
    <s v="Quiz"/>
  </r>
  <r>
    <x v="23"/>
    <x v="5"/>
    <n v="4"/>
    <n v="5"/>
    <n v="6"/>
    <n v="83.333333333333343"/>
    <n v="1"/>
    <s v="Jul 19th; 9:09AM"/>
    <s v="Aug 31st; 11:59PM"/>
    <s v="https://www.khanacademy.org/math/algebra/quadratics#transforming-quadratic-functions-quiz"/>
    <s v="Quiz"/>
  </r>
  <r>
    <x v="23"/>
    <x v="6"/>
    <n v="3"/>
    <n v="6"/>
    <n v="6"/>
    <n v="100"/>
    <n v="1"/>
    <s v="Jul 19th; 9:29AM"/>
    <s v="Aug 31st; 11:59PM"/>
    <s v="https://www.khanacademy.org/math/algebra/quadratics#transforming-quadratic-functions-quiz"/>
    <s v="Quiz"/>
  </r>
  <r>
    <x v="23"/>
    <x v="7"/>
    <n v="5"/>
    <n v="4"/>
    <n v="6"/>
    <n v="66.666666666666657"/>
    <n v="2"/>
    <s v="Aug 6th; 2:01PM"/>
    <s v="Aug 31st; 11:59PM"/>
    <s v="https://www.khanacademy.org/math/algebra/quadratics#transforming-quadratic-functions-quiz"/>
    <s v="Quiz"/>
  </r>
  <r>
    <x v="23"/>
    <x v="8"/>
    <n v="5"/>
    <n v="4"/>
    <n v="6"/>
    <n v="66.666666666666657"/>
    <n v="2"/>
    <s v="Aug 2nd; 7:22PM"/>
    <s v="Aug 31st; 11:59PM"/>
    <s v="https://www.khanacademy.org/math/algebra/quadratics#transforming-quadratic-functions-quiz"/>
    <s v="Quiz"/>
  </r>
  <r>
    <x v="23"/>
    <x v="9"/>
    <n v="3"/>
    <n v="4"/>
    <n v="6"/>
    <n v="66.666666666666657"/>
    <n v="1"/>
    <s v="Jul 19th; 9:29AM"/>
    <s v="Aug 31st; 11:59PM"/>
    <s v="https://www.khanacademy.org/math/algebra/quadratics#transforming-quadratic-functions-quiz"/>
    <s v="Quiz"/>
  </r>
  <r>
    <x v="23"/>
    <x v="10"/>
    <n v="1"/>
    <n v="2"/>
    <n v="6"/>
    <n v="33.333333333333329"/>
    <n v="1"/>
    <s v="Aug 14th; 6:58PM"/>
    <s v="Aug 31st; 11:59PM"/>
    <s v="https://www.khanacademy.org/math/algebra/quadratics#transforming-quadratic-functions-quiz"/>
    <s v="Quiz"/>
  </r>
  <r>
    <x v="23"/>
    <x v="11"/>
    <n v="4"/>
    <n v="4"/>
    <n v="6"/>
    <n v="66.666666666666657"/>
    <n v="1"/>
    <s v="Jul 19th; 9:24AM"/>
    <s v="Aug 31st; 11:59PM"/>
    <s v="https://www.khanacademy.org/math/algebra/quadratics#transforming-quadratic-functions-quiz"/>
    <s v="Quiz"/>
  </r>
  <r>
    <x v="23"/>
    <x v="12"/>
    <n v="3"/>
    <n v="6"/>
    <n v="6"/>
    <n v="100"/>
    <n v="2"/>
    <s v="Aug 7th; 8:49PM"/>
    <s v="Aug 31st; 11:59PM"/>
    <s v="https://www.khanacademy.org/math/algebra/quadratics#transforming-quadratic-functions-quiz"/>
    <s v="Quiz"/>
  </r>
  <r>
    <x v="23"/>
    <x v="13"/>
    <n v="4"/>
    <n v="6"/>
    <n v="6"/>
    <n v="100"/>
    <n v="1"/>
    <s v="Aug 15th; 5:42PM"/>
    <s v="Aug 31st; 11:59PM"/>
    <s v="https://www.khanacademy.org/math/algebra/quadratics#transforming-quadratic-functions-quiz"/>
    <s v="Quiz"/>
  </r>
  <r>
    <x v="23"/>
    <x v="14"/>
    <n v="4"/>
    <n v="6"/>
    <n v="6"/>
    <n v="100"/>
    <n v="1"/>
    <s v="Aug 21st; 12:30PM"/>
    <s v="Aug 31st; 11:59PM"/>
    <s v="https://www.khanacademy.org/math/algebra/quadratics#transforming-quadratic-functions-quiz"/>
    <s v="Quiz"/>
  </r>
  <r>
    <x v="23"/>
    <x v="15"/>
    <n v="4"/>
    <n v="4"/>
    <n v="6"/>
    <n v="66.666666666666657"/>
    <n v="1"/>
    <s v="Jul 19th; 9:24AM"/>
    <s v="Aug 31st; 11:59PM"/>
    <s v="https://www.khanacademy.org/math/algebra/quadratics#transforming-quadratic-functions-quiz"/>
    <s v="Quiz"/>
  </r>
  <r>
    <x v="23"/>
    <x v="16"/>
    <n v="5"/>
    <n v="6"/>
    <n v="6"/>
    <n v="100"/>
    <n v="1"/>
    <s v="Jul 26th; 2:07PM"/>
    <s v="Aug 31st; 11:59PM"/>
    <s v="https://www.khanacademy.org/math/algebra/quadratics#transforming-quadratic-functions-quiz"/>
    <s v="Quiz"/>
  </r>
  <r>
    <x v="23"/>
    <x v="17"/>
    <n v="5"/>
    <n v="6"/>
    <n v="6"/>
    <n v="100"/>
    <n v="2"/>
    <s v="Aug 2nd; 8:14PM"/>
    <s v="Aug 31st; 11:59PM"/>
    <s v="https://www.khanacademy.org/math/algebra/quadratics#transforming-quadratic-functions-quiz"/>
    <s v="Quiz"/>
  </r>
  <r>
    <x v="24"/>
    <x v="0"/>
    <n v="4"/>
    <n v="5"/>
    <n v="5"/>
    <n v="100"/>
    <n v="1"/>
    <s v="Jul 10th; 11:17AM"/>
    <s v="Aug 31st; 11:59PM"/>
    <s v="https://www.khanacademy.org/math/geometry/hs-geo-transformations#hs-geo-translations-quiz"/>
    <s v="Quiz"/>
  </r>
  <r>
    <x v="24"/>
    <x v="1"/>
    <n v="4"/>
    <n v="5"/>
    <n v="5"/>
    <n v="100"/>
    <n v="1"/>
    <s v="Jul 10th; 11:17AM"/>
    <s v="Aug 31st; 11:59PM"/>
    <s v="https://www.khanacademy.org/math/geometry/hs-geo-transformations#hs-geo-translations-quiz"/>
    <s v="Quiz"/>
  </r>
  <r>
    <x v="24"/>
    <x v="2"/>
    <n v="4"/>
    <n v="5"/>
    <n v="5"/>
    <n v="100"/>
    <n v="2"/>
    <s v="Jul 19th; 9:09AM"/>
    <s v="Aug 31st; 11:59PM"/>
    <s v="https://www.khanacademy.org/math/geometry/hs-geo-transformations#hs-geo-translations-quiz"/>
    <s v="Quiz"/>
  </r>
  <r>
    <x v="24"/>
    <x v="3"/>
    <n v="4"/>
    <n v="2"/>
    <n v="5"/>
    <n v="40"/>
    <n v="1"/>
    <s v="Jul 10th; 11:17AM"/>
    <s v="Aug 31st; 11:59PM"/>
    <s v="https://www.khanacademy.org/math/geometry/hs-geo-transformations#hs-geo-translations-quiz"/>
    <s v="Quiz"/>
  </r>
  <r>
    <x v="24"/>
    <x v="5"/>
    <n v="4"/>
    <n v="5"/>
    <n v="5"/>
    <n v="100"/>
    <n v="1"/>
    <s v="Jul 10th; 11:17AM"/>
    <s v="Aug 31st; 11:59PM"/>
    <s v="https://www.khanacademy.org/math/geometry/hs-geo-transformations#hs-geo-translations-quiz"/>
    <s v="Quiz"/>
  </r>
  <r>
    <x v="24"/>
    <x v="6"/>
    <n v="4"/>
    <n v="4"/>
    <n v="5"/>
    <n v="80"/>
    <n v="1"/>
    <s v="Jul 10th; 11:17AM"/>
    <s v="Aug 31st; 11:59PM"/>
    <s v="https://www.khanacademy.org/math/geometry/hs-geo-transformations#hs-geo-translations-quiz"/>
    <s v="Quiz"/>
  </r>
  <r>
    <x v="24"/>
    <x v="7"/>
    <n v="4"/>
    <n v="5"/>
    <n v="5"/>
    <n v="100"/>
    <n v="2"/>
    <s v="Aug 21st; 12:30PM"/>
    <s v="Aug 31st; 11:59PM"/>
    <s v="https://www.khanacademy.org/math/geometry/hs-geo-transformations#hs-geo-translations-quiz"/>
    <s v="Quiz"/>
  </r>
  <r>
    <x v="24"/>
    <x v="8"/>
    <n v="4"/>
    <n v="5"/>
    <n v="5"/>
    <n v="100"/>
    <n v="1"/>
    <s v="Jul 10th; 11:17AM"/>
    <s v="Aug 31st; 11:59PM"/>
    <s v="https://www.khanacademy.org/math/geometry/hs-geo-transformations#hs-geo-translations-quiz"/>
    <s v="Quiz"/>
  </r>
  <r>
    <x v="24"/>
    <x v="9"/>
    <n v="4"/>
    <n v="5"/>
    <n v="5"/>
    <n v="100"/>
    <n v="1"/>
    <s v="Jul 10th; 11:17AM"/>
    <s v="Aug 31st; 11:59PM"/>
    <s v="https://www.khanacademy.org/math/geometry/hs-geo-transformations#hs-geo-translations-quiz"/>
    <s v="Quiz"/>
  </r>
  <r>
    <x v="24"/>
    <x v="10"/>
    <n v="5"/>
    <n v="3"/>
    <n v="5"/>
    <n v="60"/>
    <n v="4"/>
    <s v="Jul 19th; 9:29AM"/>
    <s v="Aug 31st; 11:59PM"/>
    <s v="https://www.khanacademy.org/math/geometry/hs-geo-transformations#hs-geo-translations-quiz"/>
    <s v="Quiz"/>
  </r>
  <r>
    <x v="24"/>
    <x v="11"/>
    <n v="4"/>
    <n v="4"/>
    <n v="5"/>
    <n v="80"/>
    <n v="1"/>
    <s v="Jul 10th; 11:17AM"/>
    <s v="Aug 31st; 11:59PM"/>
    <s v="https://www.khanacademy.org/math/geometry/hs-geo-transformations#hs-geo-translations-quiz"/>
    <s v="Quiz"/>
  </r>
  <r>
    <x v="24"/>
    <x v="12"/>
    <n v="4"/>
    <n v="5"/>
    <n v="5"/>
    <n v="100"/>
    <n v="2"/>
    <s v="Jul 19th; 9:09AM"/>
    <s v="Aug 31st; 11:59PM"/>
    <s v="https://www.khanacademy.org/math/geometry/hs-geo-transformations#hs-geo-translations-quiz"/>
    <s v="Quiz"/>
  </r>
  <r>
    <x v="24"/>
    <x v="13"/>
    <n v="5"/>
    <n v="5"/>
    <n v="5"/>
    <n v="100"/>
    <n v="3"/>
    <s v="Jul 19th; 9:19AM"/>
    <s v="Aug 31st; 11:59PM"/>
    <s v="https://www.khanacademy.org/math/geometry/hs-geo-transformations#hs-geo-translations-quiz"/>
    <s v="Quiz"/>
  </r>
  <r>
    <x v="24"/>
    <x v="14"/>
    <n v="4"/>
    <n v="5"/>
    <n v="5"/>
    <n v="100"/>
    <n v="1"/>
    <s v="Jul 10th; 11:17AM"/>
    <s v="Aug 31st; 11:59PM"/>
    <s v="https://www.khanacademy.org/math/geometry/hs-geo-transformations#hs-geo-translations-quiz"/>
    <s v="Quiz"/>
  </r>
  <r>
    <x v="24"/>
    <x v="15"/>
    <n v="4"/>
    <n v="3"/>
    <n v="5"/>
    <n v="60"/>
    <n v="1"/>
    <s v="Jul 10th; 11:17AM"/>
    <s v="Aug 31st; 11:59PM"/>
    <s v="https://www.khanacademy.org/math/geometry/hs-geo-transformations#hs-geo-translations-quiz"/>
    <s v="Quiz"/>
  </r>
  <r>
    <x v="24"/>
    <x v="16"/>
    <n v="5"/>
    <n v="5"/>
    <n v="5"/>
    <n v="100"/>
    <n v="6"/>
    <s v="Aug 6th; 2:01PM"/>
    <s v="Aug 31st; 11:59PM"/>
    <s v="https://www.khanacademy.org/math/geometry/hs-geo-transformations#hs-geo-translations-quiz"/>
    <s v="Quiz"/>
  </r>
  <r>
    <x v="24"/>
    <x v="17"/>
    <n v="4"/>
    <n v="5"/>
    <n v="5"/>
    <n v="100"/>
    <n v="3"/>
    <s v="Aug 2nd; 7:22PM"/>
    <s v="Aug 31st; 11:59PM"/>
    <s v="https://www.khanacademy.org/math/geometry/hs-geo-transformations#hs-geo-translations-quiz"/>
    <s v="Quiz"/>
  </r>
  <r>
    <x v="25"/>
    <x v="0"/>
    <n v="5"/>
    <n v="4"/>
    <n v="5"/>
    <n v="80"/>
    <n v="2"/>
    <s v="Jul 19th; 9:19AM"/>
    <s v="Aug 31st; 11:59PM"/>
    <s v="https://www.khanacademy.org/math/geometry/hs-geo-transformations#hs-geo-rotations-quiz"/>
    <s v="Quiz"/>
  </r>
  <r>
    <x v="25"/>
    <x v="1"/>
    <n v="5"/>
    <n v="5"/>
    <n v="5"/>
    <n v="100"/>
    <n v="3"/>
    <s v="Jul 19th; 9:24AM"/>
    <s v="Aug 31st; 11:59PM"/>
    <s v="https://www.khanacademy.org/math/geometry/hs-geo-transformations#hs-geo-rotations-quiz"/>
    <s v="Quiz"/>
  </r>
  <r>
    <x v="25"/>
    <x v="2"/>
    <n v="5"/>
    <n v="4"/>
    <n v="5"/>
    <n v="80"/>
    <n v="4"/>
    <s v="Aug 21st; 12:30PM"/>
    <s v="Aug 31st; 11:59PM"/>
    <s v="https://www.khanacademy.org/math/geometry/hs-geo-transformations#hs-geo-rotations-quiz"/>
    <s v="Quiz"/>
  </r>
  <r>
    <x v="25"/>
    <x v="3"/>
    <n v="4"/>
    <n v="4"/>
    <n v="5"/>
    <n v="80"/>
    <n v="1"/>
    <s v="Jul 19th; 9:09AM"/>
    <s v="Aug 31st; 11:59PM"/>
    <s v="https://www.khanacademy.org/math/geometry/hs-geo-transformations#hs-geo-rotations-quiz"/>
    <s v="Quiz"/>
  </r>
  <r>
    <x v="25"/>
    <x v="5"/>
    <n v="5"/>
    <n v="4"/>
    <n v="5"/>
    <n v="80"/>
    <n v="3"/>
    <s v="Jul 19th; 9:29AM"/>
    <s v="Aug 31st; 11:59PM"/>
    <s v="https://www.khanacademy.org/math/geometry/hs-geo-transformations#hs-geo-rotations-quiz"/>
    <s v="Quiz"/>
  </r>
  <r>
    <x v="25"/>
    <x v="6"/>
    <n v="4"/>
    <n v="2"/>
    <n v="5"/>
    <n v="40"/>
    <n v="1"/>
    <s v="Jul 19th; 9:09AM"/>
    <s v="Aug 31st; 11:59PM"/>
    <s v="https://www.khanacademy.org/math/geometry/hs-geo-transformations#hs-geo-rotations-quiz"/>
    <s v="Quiz"/>
  </r>
  <r>
    <x v="25"/>
    <x v="7"/>
    <n v="4"/>
    <n v="1"/>
    <n v="5"/>
    <n v="20"/>
    <n v="1"/>
    <s v="Jul 19th; 9:09AM"/>
    <s v="Aug 31st; 11:59PM"/>
    <s v="https://www.khanacademy.org/math/geometry/hs-geo-transformations#hs-geo-rotations-quiz"/>
    <s v="Quiz"/>
  </r>
  <r>
    <x v="25"/>
    <x v="8"/>
    <n v="5"/>
    <n v="3"/>
    <n v="5"/>
    <n v="60"/>
    <n v="2"/>
    <s v="Jul 19th; 9:19AM"/>
    <s v="Aug 31st; 11:59PM"/>
    <s v="https://www.khanacademy.org/math/geometry/hs-geo-transformations#hs-geo-rotations-quiz"/>
    <s v="Quiz"/>
  </r>
  <r>
    <x v="25"/>
    <x v="9"/>
    <n v="4"/>
    <n v="3"/>
    <n v="5"/>
    <n v="60"/>
    <n v="1"/>
    <s v="Jul 19th; 9:09AM"/>
    <s v="Aug 31st; 11:59PM"/>
    <s v="https://www.khanacademy.org/math/geometry/hs-geo-transformations#hs-geo-rotations-quiz"/>
    <s v="Quiz"/>
  </r>
  <r>
    <x v="25"/>
    <x v="10"/>
    <n v="5"/>
    <n v="2"/>
    <n v="5"/>
    <n v="40"/>
    <n v="3"/>
    <s v="Aug 6th; 2:01PM"/>
    <s v="Aug 31st; 11:59PM"/>
    <s v="https://www.khanacademy.org/math/geometry/hs-geo-transformations#hs-geo-rotations-quiz"/>
    <s v="Quiz"/>
  </r>
  <r>
    <x v="25"/>
    <x v="11"/>
    <n v="5"/>
    <n v="2"/>
    <n v="5"/>
    <n v="40"/>
    <n v="2"/>
    <s v="Jul 19th; 9:19AM"/>
    <s v="Aug 31st; 11:59PM"/>
    <s v="https://www.khanacademy.org/math/geometry/hs-geo-transformations#hs-geo-rotations-quiz"/>
    <s v="Quiz"/>
  </r>
  <r>
    <x v="25"/>
    <x v="12"/>
    <n v="5"/>
    <n v="5"/>
    <n v="5"/>
    <n v="100"/>
    <n v="1"/>
    <s v="Jul 19th; 9:19AM"/>
    <s v="Aug 31st; 11:59PM"/>
    <s v="https://www.khanacademy.org/math/geometry/hs-geo-transformations#hs-geo-rotations-quiz"/>
    <s v="Quiz"/>
  </r>
  <r>
    <x v="25"/>
    <x v="13"/>
    <n v="5"/>
    <n v="5"/>
    <n v="5"/>
    <n v="100"/>
    <n v="9"/>
    <s v="Aug 14th; 6:58PM"/>
    <s v="Aug 31st; 11:59PM"/>
    <s v="https://www.khanacademy.org/math/geometry/hs-geo-transformations#hs-geo-rotations-quiz"/>
    <s v="Quiz"/>
  </r>
  <r>
    <x v="25"/>
    <x v="14"/>
    <n v="5"/>
    <n v="4"/>
    <n v="5"/>
    <n v="80"/>
    <n v="2"/>
    <s v="Jul 19th; 9:19AM"/>
    <s v="Aug 31st; 11:59PM"/>
    <s v="https://www.khanacademy.org/math/geometry/hs-geo-transformations#hs-geo-rotations-quiz"/>
    <s v="Quiz"/>
  </r>
  <r>
    <x v="25"/>
    <x v="15"/>
    <n v="4"/>
    <n v="2"/>
    <n v="5"/>
    <n v="40"/>
    <n v="1"/>
    <s v="Jul 19th; 9:09AM"/>
    <s v="Aug 31st; 11:59PM"/>
    <s v="https://www.khanacademy.org/math/geometry/hs-geo-transformations#hs-geo-rotations-quiz"/>
    <s v="Quiz"/>
  </r>
  <r>
    <x v="25"/>
    <x v="16"/>
    <n v="4"/>
    <n v="4"/>
    <n v="5"/>
    <n v="80"/>
    <n v="1"/>
    <s v="Aug 21st; 12:30PM"/>
    <s v="Aug 31st; 11:59PM"/>
    <s v="https://www.khanacademy.org/math/geometry/hs-geo-transformations#hs-geo-rotations-quiz"/>
    <s v="Quiz"/>
  </r>
  <r>
    <x v="25"/>
    <x v="17"/>
    <n v="5"/>
    <n v="5"/>
    <n v="5"/>
    <n v="100"/>
    <n v="5"/>
    <s v="Jul 26th; 2:07PM"/>
    <s v="Aug 31st; 11:59PM"/>
    <s v="https://www.khanacademy.org/math/geometry/hs-geo-transformations#hs-geo-rotations-quiz"/>
    <s v="Quiz"/>
  </r>
  <r>
    <x v="26"/>
    <x v="0"/>
    <m/>
    <n v="5"/>
    <n v="5"/>
    <n v="100"/>
    <n v="0"/>
    <s v="Aug 31st; 6:15PM"/>
    <s v="Aug 31st; 11:59PM"/>
    <s v="https://www.khanacademy.org/math/geometry/hs-geo-transformations#hs-geo-reflections-quiz"/>
    <s v="Quiz"/>
  </r>
  <r>
    <x v="26"/>
    <x v="1"/>
    <n v="5"/>
    <n v="5"/>
    <n v="5"/>
    <n v="100"/>
    <n v="4"/>
    <s v="Aug 6th; 2:01PM"/>
    <s v="Aug 31st; 11:59PM"/>
    <s v="https://www.khanacademy.org/math/geometry/hs-geo-transformations#hs-geo-reflections-quiz"/>
    <s v="Quiz"/>
  </r>
  <r>
    <x v="26"/>
    <x v="2"/>
    <n v="4"/>
    <n v="5"/>
    <n v="5"/>
    <n v="100"/>
    <n v="1"/>
    <s v="Aug 23rd; 11:36AM"/>
    <s v="Aug 31st; 11:59PM"/>
    <s v="https://www.khanacademy.org/math/geometry/hs-geo-transformations#hs-geo-reflections-quiz"/>
    <s v="Quiz"/>
  </r>
  <r>
    <x v="26"/>
    <x v="3"/>
    <n v="5"/>
    <n v="5"/>
    <n v="5"/>
    <n v="100"/>
    <n v="1"/>
    <s v="Jul 19th; 9:19AM"/>
    <s v="Aug 31st; 11:59PM"/>
    <s v="https://www.khanacademy.org/math/geometry/hs-geo-transformations#hs-geo-reflections-quiz"/>
    <s v="Quiz"/>
  </r>
  <r>
    <x v="26"/>
    <x v="5"/>
    <n v="4"/>
    <n v="3"/>
    <n v="5"/>
    <n v="60"/>
    <n v="1"/>
    <s v="Jul 19th; 9:24AM"/>
    <s v="Aug 31st; 11:59PM"/>
    <s v="https://www.khanacademy.org/math/geometry/hs-geo-transformations#hs-geo-reflections-quiz"/>
    <s v="Quiz"/>
  </r>
  <r>
    <x v="26"/>
    <x v="6"/>
    <n v="5"/>
    <n v="4"/>
    <n v="5"/>
    <n v="80"/>
    <n v="1"/>
    <s v="Jul 19th; 9:19AM"/>
    <s v="Aug 31st; 11:59PM"/>
    <s v="https://www.khanacademy.org/math/geometry/hs-geo-transformations#hs-geo-reflections-quiz"/>
    <s v="Quiz"/>
  </r>
  <r>
    <x v="26"/>
    <x v="7"/>
    <n v="5"/>
    <n v="5"/>
    <n v="5"/>
    <n v="100"/>
    <n v="3"/>
    <s v="Jul 19th; 9:29AM"/>
    <s v="Aug 31st; 11:59PM"/>
    <s v="https://www.khanacademy.org/math/geometry/hs-geo-transformations#hs-geo-reflections-quiz"/>
    <s v="Quiz"/>
  </r>
  <r>
    <x v="26"/>
    <x v="8"/>
    <n v="4"/>
    <n v="4"/>
    <n v="5"/>
    <n v="80"/>
    <n v="1"/>
    <s v="Jul 19th; 9:24AM"/>
    <s v="Aug 31st; 11:59PM"/>
    <s v="https://www.khanacademy.org/math/geometry/hs-geo-transformations#hs-geo-reflections-quiz"/>
    <s v="Quiz"/>
  </r>
  <r>
    <x v="26"/>
    <x v="9"/>
    <n v="5"/>
    <n v="4"/>
    <n v="5"/>
    <n v="80"/>
    <n v="1"/>
    <s v="Jul 19th; 9:19AM"/>
    <s v="Aug 31st; 11:59PM"/>
    <s v="https://www.khanacademy.org/math/geometry/hs-geo-transformations#hs-geo-reflections-quiz"/>
    <s v="Quiz"/>
  </r>
  <r>
    <x v="26"/>
    <x v="10"/>
    <n v="5"/>
    <n v="4"/>
    <n v="5"/>
    <n v="80"/>
    <n v="4"/>
    <s v="Aug 14th; 6:50PM"/>
    <s v="Aug 31st; 11:59PM"/>
    <s v="https://www.khanacademy.org/math/geometry/hs-geo-transformations#hs-geo-reflections-quiz"/>
    <s v="Quiz"/>
  </r>
  <r>
    <x v="26"/>
    <x v="11"/>
    <m/>
    <n v="4"/>
    <n v="5"/>
    <n v="80"/>
    <n v="0"/>
    <s v="Aug 31st; 12:56PM"/>
    <s v="Aug 31st; 11:59PM"/>
    <s v="https://www.khanacademy.org/math/geometry/hs-geo-transformations#hs-geo-reflections-quiz"/>
    <s v="Quiz"/>
  </r>
  <r>
    <x v="26"/>
    <x v="12"/>
    <n v="4"/>
    <n v="5"/>
    <n v="5"/>
    <n v="100"/>
    <n v="2"/>
    <s v="Jul 19th; 9:29AM"/>
    <s v="Aug 31st; 11:59PM"/>
    <s v="https://www.khanacademy.org/math/geometry/hs-geo-transformations#hs-geo-reflections-quiz"/>
    <s v="Quiz"/>
  </r>
  <r>
    <x v="26"/>
    <x v="13"/>
    <n v="5"/>
    <n v="5"/>
    <n v="5"/>
    <n v="100"/>
    <n v="2"/>
    <s v="Aug 15th; 1:24AM"/>
    <s v="Aug 31st; 11:59PM"/>
    <s v="https://www.khanacademy.org/math/geometry/hs-geo-transformations#hs-geo-reflections-quiz"/>
    <s v="Quiz"/>
  </r>
  <r>
    <x v="26"/>
    <x v="14"/>
    <n v="4"/>
    <n v="5"/>
    <n v="5"/>
    <n v="100"/>
    <n v="1"/>
    <s v="Jul 19th; 9:24AM"/>
    <s v="Aug 31st; 11:59PM"/>
    <s v="https://www.khanacademy.org/math/geometry/hs-geo-transformations#hs-geo-reflections-quiz"/>
    <s v="Quiz"/>
  </r>
  <r>
    <x v="26"/>
    <x v="15"/>
    <n v="5"/>
    <n v="5"/>
    <n v="5"/>
    <n v="100"/>
    <n v="1"/>
    <s v="Jul 19th; 9:19AM"/>
    <s v="Aug 31st; 11:59PM"/>
    <s v="https://www.khanacademy.org/math/geometry/hs-geo-transformations#hs-geo-reflections-quiz"/>
    <s v="Quiz"/>
  </r>
  <r>
    <x v="26"/>
    <x v="16"/>
    <n v="4"/>
    <n v="5"/>
    <n v="5"/>
    <n v="100"/>
    <n v="1"/>
    <s v="Aug 23rd; 11:36AM"/>
    <s v="Aug 31st; 11:59PM"/>
    <s v="https://www.khanacademy.org/math/geometry/hs-geo-transformations#hs-geo-reflections-quiz"/>
    <s v="Quiz"/>
  </r>
  <r>
    <x v="26"/>
    <x v="17"/>
    <n v="5"/>
    <n v="5"/>
    <n v="5"/>
    <n v="100"/>
    <n v="2"/>
    <s v="Aug 21st; 12:30PM"/>
    <s v="Aug 31st; 11:59PM"/>
    <s v="https://www.khanacademy.org/math/geometry/hs-geo-transformations#hs-geo-reflections-quiz"/>
    <s v="Qui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AC24" firstHeaderRow="1" firstDataRow="2" firstDataCol="1"/>
  <pivotFields count="11">
    <pivotField axis="axisCol" showAll="0">
      <items count="28">
        <item x="3"/>
        <item x="9"/>
        <item x="22"/>
        <item x="11"/>
        <item x="16"/>
        <item x="5"/>
        <item x="1"/>
        <item x="8"/>
        <item x="18"/>
        <item x="12"/>
        <item x="24"/>
        <item x="17"/>
        <item x="6"/>
        <item x="13"/>
        <item x="10"/>
        <item x="19"/>
        <item x="0"/>
        <item x="25"/>
        <item x="7"/>
        <item x="2"/>
        <item x="20"/>
        <item x="14"/>
        <item x="26"/>
        <item x="4"/>
        <item x="21"/>
        <item x="23"/>
        <item x="15"/>
        <item t="default"/>
      </items>
    </pivotField>
    <pivotField axis="axisRow" showAll="0">
      <items count="20">
        <item x="0"/>
        <item x="5"/>
        <item x="12"/>
        <item x="13"/>
        <item x="14"/>
        <item x="6"/>
        <item x="10"/>
        <item x="1"/>
        <item x="15"/>
        <item x="4"/>
        <item x="2"/>
        <item x="8"/>
        <item x="17"/>
        <item x="7"/>
        <item x="16"/>
        <item x="18"/>
        <item x="3"/>
        <item x="9"/>
        <item x="11"/>
        <item t="default"/>
      </items>
    </pivotField>
    <pivotField showAll="0"/>
    <pivotField showAll="0"/>
    <pivotField showAll="0"/>
    <pivotField dataField="1" showAll="0" defaultSubtotal="0"/>
    <pivotField showAll="0"/>
    <pivotField showAll="0"/>
    <pivotField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0"/>
  </colFields>
  <col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colItems>
  <dataFields count="1">
    <dataField name="Promedio de Grade" fld="5" subtotal="average" baseField="1" baseItem="0"/>
  </dataFields>
  <conditionalFormats count="1">
    <conditionalFormat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19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J730" totalsRowShown="0">
  <autoFilter ref="A1:J730"/>
  <tableColumns count="10">
    <tableColumn id="1" name="Assignment Name"/>
    <tableColumn id="2" name="Student Name"/>
    <tableColumn id="3" name="Score At Due Date"/>
    <tableColumn id="4" name="Score Best Ever"/>
    <tableColumn id="5" name="Points Possible"/>
    <tableColumn id="6" name="Number Of Attempts"/>
    <tableColumn id="7" name="Most Recent Completion Date"/>
    <tableColumn id="8" name="Due Date"/>
    <tableColumn id="9" name="Assignment URL"/>
    <tableColumn id="10" name="Assignment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K476" totalsRowShown="0">
  <autoFilter ref="A1:K476"/>
  <tableColumns count="11">
    <tableColumn id="1" name="Assignment Name"/>
    <tableColumn id="2" name="Student Name"/>
    <tableColumn id="3" name="Score At Due Date"/>
    <tableColumn id="4" name="Score Best Ever"/>
    <tableColumn id="5" name="Points Possible"/>
    <tableColumn id="11" name="Grade" dataDxfId="0">
      <calculatedColumnFormula>Tabla2[[#This Row],[Score Best Ever]]/Tabla2[[#This Row],[Points Possible]]*100</calculatedColumnFormula>
    </tableColumn>
    <tableColumn id="6" name="Number Of Attempts"/>
    <tableColumn id="7" name="Most Recent Completion Date"/>
    <tableColumn id="8" name="Due Date"/>
    <tableColumn id="9" name="Assignment URL"/>
    <tableColumn id="10" name="Assignment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0"/>
  <sheetViews>
    <sheetView topLeftCell="A674" workbookViewId="0">
      <selection activeCell="D676" sqref="D676"/>
    </sheetView>
  </sheetViews>
  <sheetFormatPr baseColWidth="10" defaultRowHeight="15" x14ac:dyDescent="0.25"/>
  <cols>
    <col min="1" max="1" width="19.28515625" customWidth="1"/>
    <col min="2" max="2" width="15.85546875" customWidth="1"/>
    <col min="3" max="3" width="19" customWidth="1"/>
    <col min="4" max="5" width="16.5703125" customWidth="1"/>
    <col min="6" max="6" width="21.7109375" customWidth="1"/>
    <col min="7" max="7" width="29.7109375" customWidth="1"/>
    <col min="9" max="9" width="17.42578125" customWidth="1"/>
    <col min="10" max="10" width="18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5</v>
      </c>
      <c r="D2">
        <v>4</v>
      </c>
      <c r="E2">
        <v>5</v>
      </c>
      <c r="F2">
        <v>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25">
      <c r="A3" t="s">
        <v>10</v>
      </c>
      <c r="B3" t="s">
        <v>16</v>
      </c>
      <c r="F3">
        <v>0</v>
      </c>
      <c r="H3" t="s">
        <v>13</v>
      </c>
      <c r="I3" t="s">
        <v>14</v>
      </c>
      <c r="J3" t="s">
        <v>15</v>
      </c>
    </row>
    <row r="4" spans="1:10" x14ac:dyDescent="0.25">
      <c r="A4" t="s">
        <v>10</v>
      </c>
      <c r="B4" t="s">
        <v>17</v>
      </c>
      <c r="C4">
        <v>5</v>
      </c>
      <c r="D4">
        <v>4</v>
      </c>
      <c r="E4">
        <v>5</v>
      </c>
      <c r="F4">
        <v>4</v>
      </c>
      <c r="G4" t="s">
        <v>18</v>
      </c>
      <c r="H4" t="s">
        <v>13</v>
      </c>
      <c r="I4" t="s">
        <v>14</v>
      </c>
      <c r="J4" t="s">
        <v>15</v>
      </c>
    </row>
    <row r="5" spans="1:10" x14ac:dyDescent="0.25">
      <c r="A5" t="s">
        <v>10</v>
      </c>
      <c r="B5" t="s">
        <v>19</v>
      </c>
      <c r="C5">
        <v>5</v>
      </c>
      <c r="D5">
        <v>5</v>
      </c>
      <c r="E5">
        <v>5</v>
      </c>
      <c r="F5">
        <v>2</v>
      </c>
      <c r="G5" t="s">
        <v>20</v>
      </c>
      <c r="H5" t="s">
        <v>13</v>
      </c>
      <c r="I5" t="s">
        <v>14</v>
      </c>
      <c r="J5" t="s">
        <v>15</v>
      </c>
    </row>
    <row r="6" spans="1:10" x14ac:dyDescent="0.25">
      <c r="A6" t="s">
        <v>10</v>
      </c>
      <c r="B6" t="s">
        <v>21</v>
      </c>
      <c r="C6">
        <v>4</v>
      </c>
      <c r="D6">
        <v>5</v>
      </c>
      <c r="E6">
        <v>5</v>
      </c>
      <c r="F6">
        <v>3</v>
      </c>
      <c r="G6" t="s">
        <v>22</v>
      </c>
      <c r="H6" t="s">
        <v>13</v>
      </c>
      <c r="I6" t="s">
        <v>14</v>
      </c>
      <c r="J6" t="s">
        <v>15</v>
      </c>
    </row>
    <row r="7" spans="1:10" x14ac:dyDescent="0.25">
      <c r="A7" t="s">
        <v>10</v>
      </c>
      <c r="B7" t="s">
        <v>16</v>
      </c>
      <c r="F7">
        <v>0</v>
      </c>
      <c r="H7" t="s">
        <v>13</v>
      </c>
      <c r="I7" t="s">
        <v>14</v>
      </c>
      <c r="J7" t="s">
        <v>15</v>
      </c>
    </row>
    <row r="8" spans="1:10" x14ac:dyDescent="0.25">
      <c r="A8" t="s">
        <v>10</v>
      </c>
      <c r="B8" t="s">
        <v>23</v>
      </c>
      <c r="C8">
        <v>4</v>
      </c>
      <c r="D8">
        <v>4</v>
      </c>
      <c r="E8">
        <v>5</v>
      </c>
      <c r="F8">
        <v>2</v>
      </c>
      <c r="G8" t="s">
        <v>18</v>
      </c>
      <c r="H8" t="s">
        <v>13</v>
      </c>
      <c r="I8" t="s">
        <v>14</v>
      </c>
      <c r="J8" t="s">
        <v>15</v>
      </c>
    </row>
    <row r="9" spans="1:10" x14ac:dyDescent="0.25">
      <c r="A9" t="s">
        <v>10</v>
      </c>
      <c r="B9" t="s">
        <v>24</v>
      </c>
      <c r="C9">
        <v>4</v>
      </c>
      <c r="D9">
        <v>4</v>
      </c>
      <c r="E9">
        <v>5</v>
      </c>
      <c r="F9">
        <v>1</v>
      </c>
      <c r="G9" t="s">
        <v>25</v>
      </c>
      <c r="H9" t="s">
        <v>13</v>
      </c>
      <c r="I9" t="s">
        <v>14</v>
      </c>
      <c r="J9" t="s">
        <v>15</v>
      </c>
    </row>
    <row r="10" spans="1:10" x14ac:dyDescent="0.25">
      <c r="A10" t="s">
        <v>10</v>
      </c>
      <c r="B10" t="s">
        <v>26</v>
      </c>
      <c r="F10">
        <v>0</v>
      </c>
      <c r="H10" t="s">
        <v>13</v>
      </c>
      <c r="I10" t="s">
        <v>14</v>
      </c>
      <c r="J10" t="s">
        <v>15</v>
      </c>
    </row>
    <row r="11" spans="1:10" x14ac:dyDescent="0.25">
      <c r="A11" t="s">
        <v>10</v>
      </c>
      <c r="B11" t="s">
        <v>27</v>
      </c>
      <c r="C11">
        <v>4</v>
      </c>
      <c r="D11">
        <v>3</v>
      </c>
      <c r="E11">
        <v>5</v>
      </c>
      <c r="F11">
        <v>1</v>
      </c>
      <c r="G11" t="s">
        <v>20</v>
      </c>
      <c r="H11" t="s">
        <v>13</v>
      </c>
      <c r="I11" t="s">
        <v>14</v>
      </c>
      <c r="J11" t="s">
        <v>15</v>
      </c>
    </row>
    <row r="12" spans="1:10" x14ac:dyDescent="0.25">
      <c r="A12" t="s">
        <v>10</v>
      </c>
      <c r="B12" t="s">
        <v>28</v>
      </c>
      <c r="C12">
        <v>5</v>
      </c>
      <c r="D12">
        <v>5</v>
      </c>
      <c r="E12">
        <v>5</v>
      </c>
      <c r="F12">
        <v>8</v>
      </c>
      <c r="G12" t="s">
        <v>29</v>
      </c>
      <c r="H12" t="s">
        <v>13</v>
      </c>
      <c r="I12" t="s">
        <v>14</v>
      </c>
      <c r="J12" t="s">
        <v>15</v>
      </c>
    </row>
    <row r="13" spans="1:10" x14ac:dyDescent="0.25">
      <c r="A13" t="s">
        <v>10</v>
      </c>
      <c r="B13" t="s">
        <v>30</v>
      </c>
      <c r="C13">
        <v>4</v>
      </c>
      <c r="D13">
        <v>3</v>
      </c>
      <c r="E13">
        <v>5</v>
      </c>
      <c r="F13">
        <v>2</v>
      </c>
      <c r="G13" t="s">
        <v>18</v>
      </c>
      <c r="H13" t="s">
        <v>13</v>
      </c>
      <c r="I13" t="s">
        <v>14</v>
      </c>
      <c r="J13" t="s">
        <v>15</v>
      </c>
    </row>
    <row r="14" spans="1:10" x14ac:dyDescent="0.25">
      <c r="A14" t="s">
        <v>10</v>
      </c>
      <c r="B14" t="s">
        <v>31</v>
      </c>
      <c r="C14">
        <v>4</v>
      </c>
      <c r="D14">
        <v>4</v>
      </c>
      <c r="E14">
        <v>5</v>
      </c>
      <c r="F14">
        <v>1</v>
      </c>
      <c r="G14" t="s">
        <v>25</v>
      </c>
      <c r="H14" t="s">
        <v>13</v>
      </c>
      <c r="I14" t="s">
        <v>14</v>
      </c>
      <c r="J14" t="s">
        <v>15</v>
      </c>
    </row>
    <row r="15" spans="1:10" x14ac:dyDescent="0.25">
      <c r="A15" t="s">
        <v>10</v>
      </c>
      <c r="B15" t="s">
        <v>32</v>
      </c>
      <c r="F15">
        <v>0</v>
      </c>
      <c r="H15" t="s">
        <v>13</v>
      </c>
      <c r="I15" t="s">
        <v>14</v>
      </c>
      <c r="J15" t="s">
        <v>15</v>
      </c>
    </row>
    <row r="16" spans="1:10" x14ac:dyDescent="0.25">
      <c r="A16" t="s">
        <v>10</v>
      </c>
      <c r="B16" t="s">
        <v>33</v>
      </c>
      <c r="F16">
        <v>0</v>
      </c>
      <c r="H16" t="s">
        <v>13</v>
      </c>
      <c r="I16" t="s">
        <v>14</v>
      </c>
      <c r="J16" t="s">
        <v>15</v>
      </c>
    </row>
    <row r="17" spans="1:10" x14ac:dyDescent="0.25">
      <c r="A17" t="s">
        <v>10</v>
      </c>
      <c r="B17" t="s">
        <v>34</v>
      </c>
      <c r="F17">
        <v>0</v>
      </c>
      <c r="H17" t="s">
        <v>13</v>
      </c>
      <c r="I17" t="s">
        <v>14</v>
      </c>
      <c r="J17" t="s">
        <v>15</v>
      </c>
    </row>
    <row r="18" spans="1:10" x14ac:dyDescent="0.25">
      <c r="A18" t="s">
        <v>10</v>
      </c>
      <c r="B18" t="s">
        <v>35</v>
      </c>
      <c r="C18">
        <v>4</v>
      </c>
      <c r="D18">
        <v>2</v>
      </c>
      <c r="E18">
        <v>5</v>
      </c>
      <c r="F18">
        <v>1</v>
      </c>
      <c r="G18" t="s">
        <v>20</v>
      </c>
      <c r="H18" t="s">
        <v>13</v>
      </c>
      <c r="I18" t="s">
        <v>14</v>
      </c>
      <c r="J18" t="s">
        <v>15</v>
      </c>
    </row>
    <row r="19" spans="1:10" x14ac:dyDescent="0.25">
      <c r="A19" t="s">
        <v>10</v>
      </c>
      <c r="B19" t="s">
        <v>36</v>
      </c>
      <c r="C19">
        <v>4</v>
      </c>
      <c r="D19">
        <v>5</v>
      </c>
      <c r="E19">
        <v>5</v>
      </c>
      <c r="F19">
        <v>2</v>
      </c>
      <c r="G19" t="s">
        <v>20</v>
      </c>
      <c r="H19" t="s">
        <v>13</v>
      </c>
      <c r="I19" t="s">
        <v>14</v>
      </c>
      <c r="J19" t="s">
        <v>15</v>
      </c>
    </row>
    <row r="20" spans="1:10" x14ac:dyDescent="0.25">
      <c r="A20" t="s">
        <v>10</v>
      </c>
      <c r="B20" t="s">
        <v>37</v>
      </c>
      <c r="C20">
        <v>5</v>
      </c>
      <c r="D20">
        <v>5</v>
      </c>
      <c r="E20">
        <v>5</v>
      </c>
      <c r="F20">
        <v>2</v>
      </c>
      <c r="G20" t="s">
        <v>12</v>
      </c>
      <c r="H20" t="s">
        <v>13</v>
      </c>
      <c r="I20" t="s">
        <v>14</v>
      </c>
      <c r="J20" t="s">
        <v>15</v>
      </c>
    </row>
    <row r="21" spans="1:10" x14ac:dyDescent="0.25">
      <c r="A21" t="s">
        <v>10</v>
      </c>
      <c r="B21" t="s">
        <v>16</v>
      </c>
      <c r="F21">
        <v>0</v>
      </c>
      <c r="H21" t="s">
        <v>13</v>
      </c>
      <c r="I21" t="s">
        <v>14</v>
      </c>
      <c r="J21" t="s">
        <v>15</v>
      </c>
    </row>
    <row r="22" spans="1:10" x14ac:dyDescent="0.25">
      <c r="A22" t="s">
        <v>10</v>
      </c>
      <c r="B22" t="s">
        <v>38</v>
      </c>
      <c r="C22">
        <v>5</v>
      </c>
      <c r="D22">
        <v>5</v>
      </c>
      <c r="E22">
        <v>5</v>
      </c>
      <c r="F22">
        <v>11</v>
      </c>
      <c r="G22" t="s">
        <v>39</v>
      </c>
      <c r="H22" t="s">
        <v>13</v>
      </c>
      <c r="I22" t="s">
        <v>14</v>
      </c>
      <c r="J22" t="s">
        <v>15</v>
      </c>
    </row>
    <row r="23" spans="1:10" x14ac:dyDescent="0.25">
      <c r="A23" t="s">
        <v>10</v>
      </c>
      <c r="B23" t="s">
        <v>16</v>
      </c>
      <c r="F23">
        <v>0</v>
      </c>
      <c r="H23" t="s">
        <v>13</v>
      </c>
      <c r="I23" t="s">
        <v>14</v>
      </c>
      <c r="J23" t="s">
        <v>15</v>
      </c>
    </row>
    <row r="24" spans="1:10" x14ac:dyDescent="0.25">
      <c r="A24" t="s">
        <v>10</v>
      </c>
      <c r="B24" t="s">
        <v>40</v>
      </c>
      <c r="C24">
        <v>5</v>
      </c>
      <c r="D24">
        <v>5</v>
      </c>
      <c r="E24">
        <v>5</v>
      </c>
      <c r="F24">
        <v>2</v>
      </c>
      <c r="G24" t="s">
        <v>12</v>
      </c>
      <c r="H24" t="s">
        <v>13</v>
      </c>
      <c r="I24" t="s">
        <v>14</v>
      </c>
      <c r="J24" t="s">
        <v>15</v>
      </c>
    </row>
    <row r="25" spans="1:10" x14ac:dyDescent="0.25">
      <c r="A25" t="s">
        <v>10</v>
      </c>
      <c r="B25" t="s">
        <v>41</v>
      </c>
      <c r="C25">
        <v>4</v>
      </c>
      <c r="D25">
        <v>2</v>
      </c>
      <c r="E25">
        <v>5</v>
      </c>
      <c r="F25">
        <v>1</v>
      </c>
      <c r="G25" t="s">
        <v>25</v>
      </c>
      <c r="H25" t="s">
        <v>13</v>
      </c>
      <c r="I25" t="s">
        <v>14</v>
      </c>
      <c r="J25" t="s">
        <v>15</v>
      </c>
    </row>
    <row r="26" spans="1:10" x14ac:dyDescent="0.25">
      <c r="A26" t="s">
        <v>10</v>
      </c>
      <c r="B26" t="s">
        <v>42</v>
      </c>
      <c r="C26">
        <v>4</v>
      </c>
      <c r="D26">
        <v>5</v>
      </c>
      <c r="E26">
        <v>5</v>
      </c>
      <c r="F26">
        <v>1</v>
      </c>
      <c r="G26" t="s">
        <v>25</v>
      </c>
      <c r="H26" t="s">
        <v>13</v>
      </c>
      <c r="I26" t="s">
        <v>14</v>
      </c>
      <c r="J26" t="s">
        <v>15</v>
      </c>
    </row>
    <row r="27" spans="1:10" x14ac:dyDescent="0.25">
      <c r="A27" t="s">
        <v>10</v>
      </c>
      <c r="B27" t="s">
        <v>16</v>
      </c>
      <c r="F27">
        <v>0</v>
      </c>
      <c r="H27" t="s">
        <v>13</v>
      </c>
      <c r="I27" t="s">
        <v>14</v>
      </c>
      <c r="J27" t="s">
        <v>15</v>
      </c>
    </row>
    <row r="28" spans="1:10" x14ac:dyDescent="0.25">
      <c r="A28" t="s">
        <v>10</v>
      </c>
      <c r="B28" t="s">
        <v>43</v>
      </c>
      <c r="C28">
        <v>5</v>
      </c>
      <c r="D28">
        <v>5</v>
      </c>
      <c r="E28">
        <v>5</v>
      </c>
      <c r="F28">
        <v>5</v>
      </c>
      <c r="G28" t="s">
        <v>44</v>
      </c>
      <c r="H28" t="s">
        <v>13</v>
      </c>
      <c r="I28" t="s">
        <v>14</v>
      </c>
      <c r="J28" t="s">
        <v>15</v>
      </c>
    </row>
    <row r="29" spans="1:10" x14ac:dyDescent="0.25">
      <c r="A29" t="s">
        <v>45</v>
      </c>
      <c r="B29" t="s">
        <v>11</v>
      </c>
      <c r="C29">
        <v>5</v>
      </c>
      <c r="D29">
        <v>4</v>
      </c>
      <c r="E29">
        <v>5</v>
      </c>
      <c r="F29">
        <v>2</v>
      </c>
      <c r="G29" t="s">
        <v>12</v>
      </c>
      <c r="H29" t="s">
        <v>13</v>
      </c>
      <c r="I29" t="s">
        <v>46</v>
      </c>
      <c r="J29" t="s">
        <v>15</v>
      </c>
    </row>
    <row r="30" spans="1:10" x14ac:dyDescent="0.25">
      <c r="A30" t="s">
        <v>45</v>
      </c>
      <c r="B30" t="s">
        <v>16</v>
      </c>
      <c r="F30">
        <v>0</v>
      </c>
      <c r="H30" t="s">
        <v>13</v>
      </c>
      <c r="I30" t="s">
        <v>46</v>
      </c>
      <c r="J30" t="s">
        <v>15</v>
      </c>
    </row>
    <row r="31" spans="1:10" x14ac:dyDescent="0.25">
      <c r="A31" t="s">
        <v>45</v>
      </c>
      <c r="B31" t="s">
        <v>17</v>
      </c>
      <c r="C31">
        <v>5</v>
      </c>
      <c r="D31">
        <v>5</v>
      </c>
      <c r="E31">
        <v>5</v>
      </c>
      <c r="F31">
        <v>3</v>
      </c>
      <c r="G31" t="s">
        <v>12</v>
      </c>
      <c r="H31" t="s">
        <v>13</v>
      </c>
      <c r="I31" t="s">
        <v>46</v>
      </c>
      <c r="J31" t="s">
        <v>15</v>
      </c>
    </row>
    <row r="32" spans="1:10" x14ac:dyDescent="0.25">
      <c r="A32" t="s">
        <v>45</v>
      </c>
      <c r="B32" t="s">
        <v>19</v>
      </c>
      <c r="C32">
        <v>4</v>
      </c>
      <c r="D32">
        <v>5</v>
      </c>
      <c r="E32">
        <v>5</v>
      </c>
      <c r="F32">
        <v>1</v>
      </c>
      <c r="G32" t="s">
        <v>47</v>
      </c>
      <c r="H32" t="s">
        <v>13</v>
      </c>
      <c r="I32" t="s">
        <v>46</v>
      </c>
      <c r="J32" t="s">
        <v>15</v>
      </c>
    </row>
    <row r="33" spans="1:10" x14ac:dyDescent="0.25">
      <c r="A33" t="s">
        <v>45</v>
      </c>
      <c r="B33" t="s">
        <v>21</v>
      </c>
      <c r="C33">
        <v>4</v>
      </c>
      <c r="D33">
        <v>4</v>
      </c>
      <c r="E33">
        <v>5</v>
      </c>
      <c r="F33">
        <v>1</v>
      </c>
      <c r="G33" t="s">
        <v>47</v>
      </c>
      <c r="H33" t="s">
        <v>13</v>
      </c>
      <c r="I33" t="s">
        <v>46</v>
      </c>
      <c r="J33" t="s">
        <v>15</v>
      </c>
    </row>
    <row r="34" spans="1:10" x14ac:dyDescent="0.25">
      <c r="A34" t="s">
        <v>45</v>
      </c>
      <c r="B34" t="s">
        <v>16</v>
      </c>
      <c r="F34">
        <v>0</v>
      </c>
      <c r="H34" t="s">
        <v>13</v>
      </c>
      <c r="I34" t="s">
        <v>46</v>
      </c>
      <c r="J34" t="s">
        <v>15</v>
      </c>
    </row>
    <row r="35" spans="1:10" x14ac:dyDescent="0.25">
      <c r="A35" t="s">
        <v>45</v>
      </c>
      <c r="B35" t="s">
        <v>23</v>
      </c>
      <c r="C35">
        <v>4</v>
      </c>
      <c r="D35">
        <v>4</v>
      </c>
      <c r="E35">
        <v>5</v>
      </c>
      <c r="F35">
        <v>2</v>
      </c>
      <c r="G35" t="s">
        <v>25</v>
      </c>
      <c r="H35" t="s">
        <v>13</v>
      </c>
      <c r="I35" t="s">
        <v>46</v>
      </c>
      <c r="J35" t="s">
        <v>15</v>
      </c>
    </row>
    <row r="36" spans="1:10" x14ac:dyDescent="0.25">
      <c r="A36" t="s">
        <v>45</v>
      </c>
      <c r="B36" t="s">
        <v>24</v>
      </c>
      <c r="C36">
        <v>5</v>
      </c>
      <c r="D36">
        <v>4</v>
      </c>
      <c r="E36">
        <v>5</v>
      </c>
      <c r="F36">
        <v>3</v>
      </c>
      <c r="G36" t="s">
        <v>12</v>
      </c>
      <c r="H36" t="s">
        <v>13</v>
      </c>
      <c r="I36" t="s">
        <v>46</v>
      </c>
      <c r="J36" t="s">
        <v>15</v>
      </c>
    </row>
    <row r="37" spans="1:10" x14ac:dyDescent="0.25">
      <c r="A37" t="s">
        <v>45</v>
      </c>
      <c r="B37" t="s">
        <v>26</v>
      </c>
      <c r="F37">
        <v>0</v>
      </c>
      <c r="H37" t="s">
        <v>13</v>
      </c>
      <c r="I37" t="s">
        <v>46</v>
      </c>
      <c r="J37" t="s">
        <v>15</v>
      </c>
    </row>
    <row r="38" spans="1:10" x14ac:dyDescent="0.25">
      <c r="A38" t="s">
        <v>45</v>
      </c>
      <c r="B38" t="s">
        <v>27</v>
      </c>
      <c r="C38">
        <v>4</v>
      </c>
      <c r="D38">
        <v>3</v>
      </c>
      <c r="E38">
        <v>5</v>
      </c>
      <c r="F38">
        <v>1</v>
      </c>
      <c r="G38" t="s">
        <v>47</v>
      </c>
      <c r="H38" t="s">
        <v>13</v>
      </c>
      <c r="I38" t="s">
        <v>46</v>
      </c>
      <c r="J38" t="s">
        <v>15</v>
      </c>
    </row>
    <row r="39" spans="1:10" x14ac:dyDescent="0.25">
      <c r="A39" t="s">
        <v>45</v>
      </c>
      <c r="B39" t="s">
        <v>28</v>
      </c>
      <c r="C39">
        <v>5</v>
      </c>
      <c r="D39">
        <v>4</v>
      </c>
      <c r="E39">
        <v>5</v>
      </c>
      <c r="F39">
        <v>5</v>
      </c>
      <c r="G39" t="s">
        <v>39</v>
      </c>
      <c r="H39" t="s">
        <v>13</v>
      </c>
      <c r="I39" t="s">
        <v>46</v>
      </c>
      <c r="J39" t="s">
        <v>15</v>
      </c>
    </row>
    <row r="40" spans="1:10" x14ac:dyDescent="0.25">
      <c r="A40" t="s">
        <v>45</v>
      </c>
      <c r="B40" t="s">
        <v>30</v>
      </c>
      <c r="C40">
        <v>5</v>
      </c>
      <c r="D40">
        <v>3</v>
      </c>
      <c r="E40">
        <v>5</v>
      </c>
      <c r="F40">
        <v>3</v>
      </c>
      <c r="G40" t="s">
        <v>12</v>
      </c>
      <c r="H40" t="s">
        <v>13</v>
      </c>
      <c r="I40" t="s">
        <v>46</v>
      </c>
      <c r="J40" t="s">
        <v>15</v>
      </c>
    </row>
    <row r="41" spans="1:10" x14ac:dyDescent="0.25">
      <c r="A41" t="s">
        <v>45</v>
      </c>
      <c r="B41" t="s">
        <v>31</v>
      </c>
      <c r="C41">
        <v>5</v>
      </c>
      <c r="D41">
        <v>5</v>
      </c>
      <c r="E41">
        <v>5</v>
      </c>
      <c r="F41">
        <v>3</v>
      </c>
      <c r="G41" t="s">
        <v>12</v>
      </c>
      <c r="H41" t="s">
        <v>13</v>
      </c>
      <c r="I41" t="s">
        <v>46</v>
      </c>
      <c r="J41" t="s">
        <v>15</v>
      </c>
    </row>
    <row r="42" spans="1:10" x14ac:dyDescent="0.25">
      <c r="A42" t="s">
        <v>45</v>
      </c>
      <c r="B42" t="s">
        <v>32</v>
      </c>
      <c r="C42">
        <v>4</v>
      </c>
      <c r="D42">
        <v>4</v>
      </c>
      <c r="E42">
        <v>5</v>
      </c>
      <c r="F42">
        <v>1</v>
      </c>
      <c r="G42" t="s">
        <v>47</v>
      </c>
      <c r="H42" t="s">
        <v>13</v>
      </c>
      <c r="I42" t="s">
        <v>46</v>
      </c>
      <c r="J42" t="s">
        <v>15</v>
      </c>
    </row>
    <row r="43" spans="1:10" x14ac:dyDescent="0.25">
      <c r="A43" t="s">
        <v>45</v>
      </c>
      <c r="B43" t="s">
        <v>33</v>
      </c>
      <c r="F43">
        <v>1</v>
      </c>
      <c r="G43" t="s">
        <v>47</v>
      </c>
      <c r="H43" t="s">
        <v>13</v>
      </c>
      <c r="I43" t="s">
        <v>46</v>
      </c>
      <c r="J43" t="s">
        <v>15</v>
      </c>
    </row>
    <row r="44" spans="1:10" x14ac:dyDescent="0.25">
      <c r="A44" t="s">
        <v>45</v>
      </c>
      <c r="B44" t="s">
        <v>34</v>
      </c>
      <c r="F44">
        <v>1</v>
      </c>
      <c r="G44" t="s">
        <v>47</v>
      </c>
      <c r="H44" t="s">
        <v>13</v>
      </c>
      <c r="I44" t="s">
        <v>46</v>
      </c>
      <c r="J44" t="s">
        <v>15</v>
      </c>
    </row>
    <row r="45" spans="1:10" x14ac:dyDescent="0.25">
      <c r="A45" t="s">
        <v>45</v>
      </c>
      <c r="B45" t="s">
        <v>35</v>
      </c>
      <c r="C45">
        <v>4</v>
      </c>
      <c r="D45">
        <v>2</v>
      </c>
      <c r="E45">
        <v>5</v>
      </c>
      <c r="F45">
        <v>2</v>
      </c>
      <c r="G45" t="s">
        <v>25</v>
      </c>
      <c r="H45" t="s">
        <v>13</v>
      </c>
      <c r="I45" t="s">
        <v>46</v>
      </c>
      <c r="J45" t="s">
        <v>15</v>
      </c>
    </row>
    <row r="46" spans="1:10" x14ac:dyDescent="0.25">
      <c r="A46" t="s">
        <v>45</v>
      </c>
      <c r="B46" t="s">
        <v>36</v>
      </c>
      <c r="C46">
        <v>5</v>
      </c>
      <c r="D46">
        <v>4</v>
      </c>
      <c r="E46">
        <v>5</v>
      </c>
      <c r="F46">
        <v>2</v>
      </c>
      <c r="G46" t="s">
        <v>12</v>
      </c>
      <c r="H46" t="s">
        <v>13</v>
      </c>
      <c r="I46" t="s">
        <v>46</v>
      </c>
      <c r="J46" t="s">
        <v>15</v>
      </c>
    </row>
    <row r="47" spans="1:10" x14ac:dyDescent="0.25">
      <c r="A47" t="s">
        <v>45</v>
      </c>
      <c r="B47" t="s">
        <v>37</v>
      </c>
      <c r="C47">
        <v>5</v>
      </c>
      <c r="D47">
        <v>5</v>
      </c>
      <c r="E47">
        <v>5</v>
      </c>
      <c r="F47">
        <v>5</v>
      </c>
      <c r="G47" t="s">
        <v>48</v>
      </c>
      <c r="H47" t="s">
        <v>13</v>
      </c>
      <c r="I47" t="s">
        <v>46</v>
      </c>
      <c r="J47" t="s">
        <v>15</v>
      </c>
    </row>
    <row r="48" spans="1:10" x14ac:dyDescent="0.25">
      <c r="A48" t="s">
        <v>45</v>
      </c>
      <c r="B48" t="s">
        <v>16</v>
      </c>
      <c r="F48">
        <v>0</v>
      </c>
      <c r="H48" t="s">
        <v>13</v>
      </c>
      <c r="I48" t="s">
        <v>46</v>
      </c>
      <c r="J48" t="s">
        <v>15</v>
      </c>
    </row>
    <row r="49" spans="1:10" x14ac:dyDescent="0.25">
      <c r="A49" t="s">
        <v>45</v>
      </c>
      <c r="B49" t="s">
        <v>38</v>
      </c>
      <c r="C49">
        <v>5</v>
      </c>
      <c r="D49">
        <v>5</v>
      </c>
      <c r="E49">
        <v>5</v>
      </c>
      <c r="F49">
        <v>3</v>
      </c>
      <c r="G49" t="s">
        <v>12</v>
      </c>
      <c r="H49" t="s">
        <v>13</v>
      </c>
      <c r="I49" t="s">
        <v>46</v>
      </c>
      <c r="J49" t="s">
        <v>15</v>
      </c>
    </row>
    <row r="50" spans="1:10" x14ac:dyDescent="0.25">
      <c r="A50" t="s">
        <v>45</v>
      </c>
      <c r="B50" t="s">
        <v>16</v>
      </c>
      <c r="F50">
        <v>0</v>
      </c>
      <c r="H50" t="s">
        <v>13</v>
      </c>
      <c r="I50" t="s">
        <v>46</v>
      </c>
      <c r="J50" t="s">
        <v>15</v>
      </c>
    </row>
    <row r="51" spans="1:10" x14ac:dyDescent="0.25">
      <c r="A51" t="s">
        <v>45</v>
      </c>
      <c r="B51" t="s">
        <v>40</v>
      </c>
      <c r="C51">
        <v>4</v>
      </c>
      <c r="D51">
        <v>4</v>
      </c>
      <c r="E51">
        <v>5</v>
      </c>
      <c r="F51">
        <v>2</v>
      </c>
      <c r="G51" t="s">
        <v>25</v>
      </c>
      <c r="H51" t="s">
        <v>13</v>
      </c>
      <c r="I51" t="s">
        <v>46</v>
      </c>
      <c r="J51" t="s">
        <v>15</v>
      </c>
    </row>
    <row r="52" spans="1:10" x14ac:dyDescent="0.25">
      <c r="A52" t="s">
        <v>45</v>
      </c>
      <c r="B52" t="s">
        <v>41</v>
      </c>
      <c r="C52">
        <v>4</v>
      </c>
      <c r="D52">
        <v>4</v>
      </c>
      <c r="E52">
        <v>5</v>
      </c>
      <c r="F52">
        <v>1</v>
      </c>
      <c r="G52" t="s">
        <v>47</v>
      </c>
      <c r="H52" t="s">
        <v>13</v>
      </c>
      <c r="I52" t="s">
        <v>46</v>
      </c>
      <c r="J52" t="s">
        <v>15</v>
      </c>
    </row>
    <row r="53" spans="1:10" x14ac:dyDescent="0.25">
      <c r="A53" t="s">
        <v>45</v>
      </c>
      <c r="B53" t="s">
        <v>42</v>
      </c>
      <c r="C53">
        <v>5</v>
      </c>
      <c r="D53">
        <v>5</v>
      </c>
      <c r="E53">
        <v>5</v>
      </c>
      <c r="F53">
        <v>3</v>
      </c>
      <c r="G53" t="s">
        <v>12</v>
      </c>
      <c r="H53" t="s">
        <v>13</v>
      </c>
      <c r="I53" t="s">
        <v>46</v>
      </c>
      <c r="J53" t="s">
        <v>15</v>
      </c>
    </row>
    <row r="54" spans="1:10" x14ac:dyDescent="0.25">
      <c r="A54" t="s">
        <v>45</v>
      </c>
      <c r="B54" t="s">
        <v>16</v>
      </c>
      <c r="F54">
        <v>0</v>
      </c>
      <c r="H54" t="s">
        <v>13</v>
      </c>
      <c r="I54" t="s">
        <v>46</v>
      </c>
      <c r="J54" t="s">
        <v>15</v>
      </c>
    </row>
    <row r="55" spans="1:10" x14ac:dyDescent="0.25">
      <c r="A55" t="s">
        <v>45</v>
      </c>
      <c r="B55" t="s">
        <v>43</v>
      </c>
      <c r="C55">
        <v>5</v>
      </c>
      <c r="D55">
        <v>5</v>
      </c>
      <c r="E55">
        <v>5</v>
      </c>
      <c r="F55">
        <v>6</v>
      </c>
      <c r="G55" t="s">
        <v>48</v>
      </c>
      <c r="H55" t="s">
        <v>13</v>
      </c>
      <c r="I55" t="s">
        <v>46</v>
      </c>
      <c r="J55" t="s">
        <v>15</v>
      </c>
    </row>
    <row r="56" spans="1:10" x14ac:dyDescent="0.25">
      <c r="A56" t="s">
        <v>49</v>
      </c>
      <c r="B56" t="s">
        <v>11</v>
      </c>
      <c r="C56">
        <v>4</v>
      </c>
      <c r="D56">
        <v>5</v>
      </c>
      <c r="E56">
        <v>5</v>
      </c>
      <c r="F56">
        <v>1</v>
      </c>
      <c r="G56" t="s">
        <v>50</v>
      </c>
      <c r="H56" t="s">
        <v>13</v>
      </c>
      <c r="I56" t="s">
        <v>51</v>
      </c>
      <c r="J56" t="s">
        <v>15</v>
      </c>
    </row>
    <row r="57" spans="1:10" x14ac:dyDescent="0.25">
      <c r="A57" t="s">
        <v>49</v>
      </c>
      <c r="B57" t="s">
        <v>16</v>
      </c>
      <c r="F57">
        <v>0</v>
      </c>
      <c r="H57" t="s">
        <v>13</v>
      </c>
      <c r="I57" t="s">
        <v>51</v>
      </c>
      <c r="J57" t="s">
        <v>15</v>
      </c>
    </row>
    <row r="58" spans="1:10" x14ac:dyDescent="0.25">
      <c r="A58" t="s">
        <v>49</v>
      </c>
      <c r="B58" t="s">
        <v>17</v>
      </c>
      <c r="C58">
        <v>5</v>
      </c>
      <c r="D58">
        <v>5</v>
      </c>
      <c r="E58">
        <v>5</v>
      </c>
      <c r="F58">
        <v>2</v>
      </c>
      <c r="G58" t="s">
        <v>44</v>
      </c>
      <c r="H58" t="s">
        <v>13</v>
      </c>
      <c r="I58" t="s">
        <v>51</v>
      </c>
      <c r="J58" t="s">
        <v>15</v>
      </c>
    </row>
    <row r="59" spans="1:10" x14ac:dyDescent="0.25">
      <c r="A59" t="s">
        <v>49</v>
      </c>
      <c r="B59" t="s">
        <v>19</v>
      </c>
      <c r="C59">
        <v>4</v>
      </c>
      <c r="D59">
        <v>5</v>
      </c>
      <c r="E59">
        <v>5</v>
      </c>
      <c r="F59">
        <v>2</v>
      </c>
      <c r="G59" t="s">
        <v>52</v>
      </c>
      <c r="H59" t="s">
        <v>13</v>
      </c>
      <c r="I59" t="s">
        <v>51</v>
      </c>
      <c r="J59" t="s">
        <v>15</v>
      </c>
    </row>
    <row r="60" spans="1:10" x14ac:dyDescent="0.25">
      <c r="A60" t="s">
        <v>49</v>
      </c>
      <c r="B60" t="s">
        <v>21</v>
      </c>
      <c r="C60">
        <v>4</v>
      </c>
      <c r="D60">
        <v>5</v>
      </c>
      <c r="E60">
        <v>5</v>
      </c>
      <c r="F60">
        <v>1</v>
      </c>
      <c r="G60" t="s">
        <v>20</v>
      </c>
      <c r="H60" t="s">
        <v>13</v>
      </c>
      <c r="I60" t="s">
        <v>51</v>
      </c>
      <c r="J60" t="s">
        <v>15</v>
      </c>
    </row>
    <row r="61" spans="1:10" x14ac:dyDescent="0.25">
      <c r="A61" t="s">
        <v>49</v>
      </c>
      <c r="B61" t="s">
        <v>16</v>
      </c>
      <c r="F61">
        <v>0</v>
      </c>
      <c r="H61" t="s">
        <v>13</v>
      </c>
      <c r="I61" t="s">
        <v>51</v>
      </c>
      <c r="J61" t="s">
        <v>15</v>
      </c>
    </row>
    <row r="62" spans="1:10" x14ac:dyDescent="0.25">
      <c r="A62" t="s">
        <v>49</v>
      </c>
      <c r="B62" t="s">
        <v>23</v>
      </c>
      <c r="C62">
        <v>3</v>
      </c>
      <c r="D62">
        <v>4</v>
      </c>
      <c r="E62">
        <v>5</v>
      </c>
      <c r="F62">
        <v>1</v>
      </c>
      <c r="G62" t="s">
        <v>18</v>
      </c>
      <c r="H62" t="s">
        <v>13</v>
      </c>
      <c r="I62" t="s">
        <v>51</v>
      </c>
      <c r="J62" t="s">
        <v>15</v>
      </c>
    </row>
    <row r="63" spans="1:10" x14ac:dyDescent="0.25">
      <c r="A63" t="s">
        <v>49</v>
      </c>
      <c r="B63" t="s">
        <v>24</v>
      </c>
      <c r="C63">
        <v>4</v>
      </c>
      <c r="D63">
        <v>3</v>
      </c>
      <c r="E63">
        <v>5</v>
      </c>
      <c r="F63">
        <v>1</v>
      </c>
      <c r="G63" t="s">
        <v>20</v>
      </c>
      <c r="H63" t="s">
        <v>13</v>
      </c>
      <c r="I63" t="s">
        <v>51</v>
      </c>
      <c r="J63" t="s">
        <v>15</v>
      </c>
    </row>
    <row r="64" spans="1:10" x14ac:dyDescent="0.25">
      <c r="A64" t="s">
        <v>49</v>
      </c>
      <c r="B64" t="s">
        <v>26</v>
      </c>
      <c r="F64">
        <v>0</v>
      </c>
      <c r="H64" t="s">
        <v>13</v>
      </c>
      <c r="I64" t="s">
        <v>51</v>
      </c>
      <c r="J64" t="s">
        <v>15</v>
      </c>
    </row>
    <row r="65" spans="1:10" x14ac:dyDescent="0.25">
      <c r="A65" t="s">
        <v>49</v>
      </c>
      <c r="B65" t="s">
        <v>27</v>
      </c>
      <c r="C65">
        <v>5</v>
      </c>
      <c r="D65">
        <v>3</v>
      </c>
      <c r="E65">
        <v>5</v>
      </c>
      <c r="F65">
        <v>1</v>
      </c>
      <c r="G65" t="s">
        <v>12</v>
      </c>
      <c r="H65" t="s">
        <v>13</v>
      </c>
      <c r="I65" t="s">
        <v>51</v>
      </c>
      <c r="J65" t="s">
        <v>15</v>
      </c>
    </row>
    <row r="66" spans="1:10" x14ac:dyDescent="0.25">
      <c r="A66" t="s">
        <v>49</v>
      </c>
      <c r="B66" t="s">
        <v>28</v>
      </c>
      <c r="C66">
        <v>5</v>
      </c>
      <c r="D66">
        <v>5</v>
      </c>
      <c r="E66">
        <v>5</v>
      </c>
      <c r="F66">
        <v>3</v>
      </c>
      <c r="G66" t="s">
        <v>53</v>
      </c>
      <c r="H66" t="s">
        <v>13</v>
      </c>
      <c r="I66" t="s">
        <v>51</v>
      </c>
      <c r="J66" t="s">
        <v>15</v>
      </c>
    </row>
    <row r="67" spans="1:10" x14ac:dyDescent="0.25">
      <c r="A67" t="s">
        <v>49</v>
      </c>
      <c r="B67" t="s">
        <v>30</v>
      </c>
      <c r="C67">
        <v>4</v>
      </c>
      <c r="D67">
        <v>4</v>
      </c>
      <c r="E67">
        <v>5</v>
      </c>
      <c r="F67">
        <v>2</v>
      </c>
      <c r="G67" t="s">
        <v>22</v>
      </c>
      <c r="H67" t="s">
        <v>13</v>
      </c>
      <c r="I67" t="s">
        <v>51</v>
      </c>
      <c r="J67" t="s">
        <v>15</v>
      </c>
    </row>
    <row r="68" spans="1:10" x14ac:dyDescent="0.25">
      <c r="A68" t="s">
        <v>49</v>
      </c>
      <c r="B68" t="s">
        <v>31</v>
      </c>
      <c r="C68">
        <v>3</v>
      </c>
      <c r="D68">
        <v>5</v>
      </c>
      <c r="E68">
        <v>5</v>
      </c>
      <c r="F68">
        <v>1</v>
      </c>
      <c r="G68" t="s">
        <v>18</v>
      </c>
      <c r="H68" t="s">
        <v>13</v>
      </c>
      <c r="I68" t="s">
        <v>51</v>
      </c>
      <c r="J68" t="s">
        <v>15</v>
      </c>
    </row>
    <row r="69" spans="1:10" x14ac:dyDescent="0.25">
      <c r="A69" t="s">
        <v>49</v>
      </c>
      <c r="B69" t="s">
        <v>32</v>
      </c>
      <c r="F69">
        <v>0</v>
      </c>
      <c r="H69" t="s">
        <v>13</v>
      </c>
      <c r="I69" t="s">
        <v>51</v>
      </c>
      <c r="J69" t="s">
        <v>15</v>
      </c>
    </row>
    <row r="70" spans="1:10" x14ac:dyDescent="0.25">
      <c r="A70" t="s">
        <v>49</v>
      </c>
      <c r="B70" t="s">
        <v>33</v>
      </c>
      <c r="F70">
        <v>0</v>
      </c>
      <c r="H70" t="s">
        <v>13</v>
      </c>
      <c r="I70" t="s">
        <v>51</v>
      </c>
      <c r="J70" t="s">
        <v>15</v>
      </c>
    </row>
    <row r="71" spans="1:10" x14ac:dyDescent="0.25">
      <c r="A71" t="s">
        <v>49</v>
      </c>
      <c r="B71" t="s">
        <v>34</v>
      </c>
      <c r="F71">
        <v>0</v>
      </c>
      <c r="H71" t="s">
        <v>13</v>
      </c>
      <c r="I71" t="s">
        <v>51</v>
      </c>
      <c r="J71" t="s">
        <v>15</v>
      </c>
    </row>
    <row r="72" spans="1:10" x14ac:dyDescent="0.25">
      <c r="A72" t="s">
        <v>49</v>
      </c>
      <c r="B72" t="s">
        <v>35</v>
      </c>
      <c r="C72">
        <v>5</v>
      </c>
      <c r="D72">
        <v>4</v>
      </c>
      <c r="E72">
        <v>5</v>
      </c>
      <c r="F72">
        <v>9</v>
      </c>
      <c r="G72" t="s">
        <v>54</v>
      </c>
      <c r="H72" t="s">
        <v>13</v>
      </c>
      <c r="I72" t="s">
        <v>51</v>
      </c>
      <c r="J72" t="s">
        <v>15</v>
      </c>
    </row>
    <row r="73" spans="1:10" x14ac:dyDescent="0.25">
      <c r="A73" t="s">
        <v>49</v>
      </c>
      <c r="B73" t="s">
        <v>36</v>
      </c>
      <c r="C73">
        <v>4</v>
      </c>
      <c r="D73">
        <v>5</v>
      </c>
      <c r="E73">
        <v>5</v>
      </c>
      <c r="F73">
        <v>2</v>
      </c>
      <c r="G73" t="s">
        <v>18</v>
      </c>
      <c r="H73" t="s">
        <v>13</v>
      </c>
      <c r="I73" t="s">
        <v>51</v>
      </c>
      <c r="J73" t="s">
        <v>15</v>
      </c>
    </row>
    <row r="74" spans="1:10" x14ac:dyDescent="0.25">
      <c r="A74" t="s">
        <v>49</v>
      </c>
      <c r="B74" t="s">
        <v>37</v>
      </c>
      <c r="C74">
        <v>5</v>
      </c>
      <c r="D74">
        <v>5</v>
      </c>
      <c r="E74">
        <v>5</v>
      </c>
      <c r="F74">
        <v>6</v>
      </c>
      <c r="G74" t="s">
        <v>29</v>
      </c>
      <c r="H74" t="s">
        <v>13</v>
      </c>
      <c r="I74" t="s">
        <v>51</v>
      </c>
      <c r="J74" t="s">
        <v>15</v>
      </c>
    </row>
    <row r="75" spans="1:10" x14ac:dyDescent="0.25">
      <c r="A75" t="s">
        <v>49</v>
      </c>
      <c r="B75" t="s">
        <v>16</v>
      </c>
      <c r="F75">
        <v>0</v>
      </c>
      <c r="H75" t="s">
        <v>13</v>
      </c>
      <c r="I75" t="s">
        <v>51</v>
      </c>
      <c r="J75" t="s">
        <v>15</v>
      </c>
    </row>
    <row r="76" spans="1:10" x14ac:dyDescent="0.25">
      <c r="A76" t="s">
        <v>49</v>
      </c>
      <c r="B76" t="s">
        <v>38</v>
      </c>
      <c r="C76">
        <v>3</v>
      </c>
      <c r="D76">
        <v>5</v>
      </c>
      <c r="E76">
        <v>5</v>
      </c>
      <c r="F76">
        <v>2</v>
      </c>
      <c r="G76" t="s">
        <v>39</v>
      </c>
      <c r="H76" t="s">
        <v>13</v>
      </c>
      <c r="I76" t="s">
        <v>51</v>
      </c>
      <c r="J76" t="s">
        <v>15</v>
      </c>
    </row>
    <row r="77" spans="1:10" x14ac:dyDescent="0.25">
      <c r="A77" t="s">
        <v>49</v>
      </c>
      <c r="B77" t="s">
        <v>16</v>
      </c>
      <c r="F77">
        <v>0</v>
      </c>
      <c r="H77" t="s">
        <v>13</v>
      </c>
      <c r="I77" t="s">
        <v>51</v>
      </c>
      <c r="J77" t="s">
        <v>15</v>
      </c>
    </row>
    <row r="78" spans="1:10" x14ac:dyDescent="0.25">
      <c r="A78" t="s">
        <v>49</v>
      </c>
      <c r="B78" t="s">
        <v>40</v>
      </c>
      <c r="D78">
        <v>5</v>
      </c>
      <c r="E78">
        <v>5</v>
      </c>
      <c r="F78">
        <v>0</v>
      </c>
      <c r="G78" t="s">
        <v>55</v>
      </c>
      <c r="H78" t="s">
        <v>13</v>
      </c>
      <c r="I78" t="s">
        <v>51</v>
      </c>
      <c r="J78" t="s">
        <v>15</v>
      </c>
    </row>
    <row r="79" spans="1:10" x14ac:dyDescent="0.25">
      <c r="A79" t="s">
        <v>49</v>
      </c>
      <c r="B79" t="s">
        <v>41</v>
      </c>
      <c r="C79">
        <v>5</v>
      </c>
      <c r="D79">
        <v>4</v>
      </c>
      <c r="E79">
        <v>5</v>
      </c>
      <c r="F79">
        <v>1</v>
      </c>
      <c r="G79" t="s">
        <v>12</v>
      </c>
      <c r="H79" t="s">
        <v>13</v>
      </c>
      <c r="I79" t="s">
        <v>51</v>
      </c>
      <c r="J79" t="s">
        <v>15</v>
      </c>
    </row>
    <row r="80" spans="1:10" x14ac:dyDescent="0.25">
      <c r="A80" t="s">
        <v>49</v>
      </c>
      <c r="B80" t="s">
        <v>42</v>
      </c>
      <c r="C80">
        <v>4</v>
      </c>
      <c r="D80">
        <v>5</v>
      </c>
      <c r="E80">
        <v>5</v>
      </c>
      <c r="F80">
        <v>1</v>
      </c>
      <c r="G80" t="s">
        <v>20</v>
      </c>
      <c r="H80" t="s">
        <v>13</v>
      </c>
      <c r="I80" t="s">
        <v>51</v>
      </c>
      <c r="J80" t="s">
        <v>15</v>
      </c>
    </row>
    <row r="81" spans="1:10" x14ac:dyDescent="0.25">
      <c r="A81" t="s">
        <v>49</v>
      </c>
      <c r="B81" t="s">
        <v>16</v>
      </c>
      <c r="F81">
        <v>0</v>
      </c>
      <c r="H81" t="s">
        <v>13</v>
      </c>
      <c r="I81" t="s">
        <v>51</v>
      </c>
      <c r="J81" t="s">
        <v>15</v>
      </c>
    </row>
    <row r="82" spans="1:10" x14ac:dyDescent="0.25">
      <c r="A82" t="s">
        <v>49</v>
      </c>
      <c r="B82" t="s">
        <v>43</v>
      </c>
      <c r="C82">
        <v>5</v>
      </c>
      <c r="D82">
        <v>5</v>
      </c>
      <c r="E82">
        <v>5</v>
      </c>
      <c r="F82">
        <v>2</v>
      </c>
      <c r="G82" t="s">
        <v>53</v>
      </c>
      <c r="H82" t="s">
        <v>13</v>
      </c>
      <c r="I82" t="s">
        <v>51</v>
      </c>
      <c r="J82" t="s">
        <v>15</v>
      </c>
    </row>
    <row r="83" spans="1:10" x14ac:dyDescent="0.25">
      <c r="A83" t="s">
        <v>56</v>
      </c>
      <c r="B83" t="s">
        <v>11</v>
      </c>
      <c r="C83">
        <v>5</v>
      </c>
      <c r="D83">
        <v>15</v>
      </c>
      <c r="E83">
        <v>17</v>
      </c>
      <c r="F83">
        <v>2</v>
      </c>
      <c r="G83" t="s">
        <v>53</v>
      </c>
      <c r="H83" t="s">
        <v>13</v>
      </c>
      <c r="I83" t="s">
        <v>57</v>
      </c>
      <c r="J83" t="s">
        <v>58</v>
      </c>
    </row>
    <row r="84" spans="1:10" x14ac:dyDescent="0.25">
      <c r="A84" t="s">
        <v>56</v>
      </c>
      <c r="B84" t="s">
        <v>16</v>
      </c>
      <c r="F84">
        <v>0</v>
      </c>
      <c r="H84" t="s">
        <v>13</v>
      </c>
      <c r="I84" t="s">
        <v>57</v>
      </c>
      <c r="J84" t="s">
        <v>58</v>
      </c>
    </row>
    <row r="85" spans="1:10" x14ac:dyDescent="0.25">
      <c r="A85" t="s">
        <v>56</v>
      </c>
      <c r="B85" t="s">
        <v>17</v>
      </c>
      <c r="C85">
        <v>5</v>
      </c>
      <c r="D85">
        <v>14</v>
      </c>
      <c r="E85">
        <v>17</v>
      </c>
      <c r="F85">
        <v>7</v>
      </c>
      <c r="G85" t="s">
        <v>59</v>
      </c>
      <c r="H85" t="s">
        <v>13</v>
      </c>
      <c r="I85" t="s">
        <v>57</v>
      </c>
      <c r="J85" t="s">
        <v>58</v>
      </c>
    </row>
    <row r="86" spans="1:10" x14ac:dyDescent="0.25">
      <c r="A86" t="s">
        <v>56</v>
      </c>
      <c r="B86" t="s">
        <v>19</v>
      </c>
      <c r="C86">
        <v>5</v>
      </c>
      <c r="D86">
        <v>16</v>
      </c>
      <c r="E86">
        <v>17</v>
      </c>
      <c r="F86">
        <v>3</v>
      </c>
      <c r="G86" t="s">
        <v>29</v>
      </c>
      <c r="H86" t="s">
        <v>13</v>
      </c>
      <c r="I86" t="s">
        <v>57</v>
      </c>
      <c r="J86" t="s">
        <v>58</v>
      </c>
    </row>
    <row r="87" spans="1:10" x14ac:dyDescent="0.25">
      <c r="A87" t="s">
        <v>56</v>
      </c>
      <c r="B87" t="s">
        <v>21</v>
      </c>
      <c r="C87">
        <v>5</v>
      </c>
      <c r="D87">
        <v>15</v>
      </c>
      <c r="E87">
        <v>17</v>
      </c>
      <c r="F87">
        <v>1</v>
      </c>
      <c r="G87" t="s">
        <v>12</v>
      </c>
      <c r="H87" t="s">
        <v>13</v>
      </c>
      <c r="I87" t="s">
        <v>57</v>
      </c>
      <c r="J87" t="s">
        <v>58</v>
      </c>
    </row>
    <row r="88" spans="1:10" x14ac:dyDescent="0.25">
      <c r="A88" t="s">
        <v>56</v>
      </c>
      <c r="B88" t="s">
        <v>16</v>
      </c>
      <c r="F88">
        <v>0</v>
      </c>
      <c r="H88" t="s">
        <v>13</v>
      </c>
      <c r="I88" t="s">
        <v>57</v>
      </c>
      <c r="J88" t="s">
        <v>58</v>
      </c>
    </row>
    <row r="89" spans="1:10" x14ac:dyDescent="0.25">
      <c r="A89" t="s">
        <v>56</v>
      </c>
      <c r="B89" t="s">
        <v>23</v>
      </c>
      <c r="C89">
        <v>5</v>
      </c>
      <c r="D89">
        <v>14</v>
      </c>
      <c r="E89">
        <v>17</v>
      </c>
      <c r="F89">
        <v>2</v>
      </c>
      <c r="G89" t="s">
        <v>44</v>
      </c>
      <c r="H89" t="s">
        <v>13</v>
      </c>
      <c r="I89" t="s">
        <v>57</v>
      </c>
      <c r="J89" t="s">
        <v>58</v>
      </c>
    </row>
    <row r="90" spans="1:10" x14ac:dyDescent="0.25">
      <c r="A90" t="s">
        <v>56</v>
      </c>
      <c r="B90" t="s">
        <v>24</v>
      </c>
      <c r="C90">
        <v>3</v>
      </c>
      <c r="D90">
        <v>11</v>
      </c>
      <c r="E90">
        <v>17</v>
      </c>
      <c r="F90">
        <v>1</v>
      </c>
      <c r="G90" t="s">
        <v>18</v>
      </c>
      <c r="H90" t="s">
        <v>13</v>
      </c>
      <c r="I90" t="s">
        <v>57</v>
      </c>
      <c r="J90" t="s">
        <v>58</v>
      </c>
    </row>
    <row r="91" spans="1:10" x14ac:dyDescent="0.25">
      <c r="A91" t="s">
        <v>56</v>
      </c>
      <c r="B91" t="s">
        <v>26</v>
      </c>
      <c r="F91">
        <v>0</v>
      </c>
      <c r="H91" t="s">
        <v>13</v>
      </c>
      <c r="I91" t="s">
        <v>57</v>
      </c>
      <c r="J91" t="s">
        <v>58</v>
      </c>
    </row>
    <row r="92" spans="1:10" x14ac:dyDescent="0.25">
      <c r="A92" t="s">
        <v>56</v>
      </c>
      <c r="B92" t="s">
        <v>27</v>
      </c>
      <c r="D92">
        <v>8</v>
      </c>
      <c r="E92">
        <v>17</v>
      </c>
      <c r="F92">
        <v>0</v>
      </c>
      <c r="G92" t="s">
        <v>60</v>
      </c>
      <c r="H92" t="s">
        <v>13</v>
      </c>
      <c r="I92" t="s">
        <v>57</v>
      </c>
      <c r="J92" t="s">
        <v>58</v>
      </c>
    </row>
    <row r="93" spans="1:10" x14ac:dyDescent="0.25">
      <c r="A93" t="s">
        <v>56</v>
      </c>
      <c r="B93" t="s">
        <v>28</v>
      </c>
      <c r="C93">
        <v>4</v>
      </c>
      <c r="D93">
        <v>15</v>
      </c>
      <c r="E93">
        <v>17</v>
      </c>
      <c r="F93">
        <v>2</v>
      </c>
      <c r="G93" t="s">
        <v>52</v>
      </c>
      <c r="H93" t="s">
        <v>13</v>
      </c>
      <c r="I93" t="s">
        <v>57</v>
      </c>
      <c r="J93" t="s">
        <v>58</v>
      </c>
    </row>
    <row r="94" spans="1:10" x14ac:dyDescent="0.25">
      <c r="A94" t="s">
        <v>56</v>
      </c>
      <c r="B94" t="s">
        <v>30</v>
      </c>
      <c r="C94">
        <v>5</v>
      </c>
      <c r="D94">
        <v>13</v>
      </c>
      <c r="E94">
        <v>17</v>
      </c>
      <c r="F94">
        <v>3</v>
      </c>
      <c r="G94" t="s">
        <v>52</v>
      </c>
      <c r="H94" t="s">
        <v>13</v>
      </c>
      <c r="I94" t="s">
        <v>57</v>
      </c>
      <c r="J94" t="s">
        <v>58</v>
      </c>
    </row>
    <row r="95" spans="1:10" x14ac:dyDescent="0.25">
      <c r="A95" t="s">
        <v>56</v>
      </c>
      <c r="B95" t="s">
        <v>31</v>
      </c>
      <c r="D95">
        <v>17</v>
      </c>
      <c r="E95">
        <v>17</v>
      </c>
      <c r="F95">
        <v>0</v>
      </c>
      <c r="G95" t="s">
        <v>61</v>
      </c>
      <c r="H95" t="s">
        <v>13</v>
      </c>
      <c r="I95" t="s">
        <v>57</v>
      </c>
      <c r="J95" t="s">
        <v>58</v>
      </c>
    </row>
    <row r="96" spans="1:10" x14ac:dyDescent="0.25">
      <c r="A96" t="s">
        <v>56</v>
      </c>
      <c r="B96" t="s">
        <v>32</v>
      </c>
      <c r="F96">
        <v>0</v>
      </c>
      <c r="H96" t="s">
        <v>13</v>
      </c>
      <c r="I96" t="s">
        <v>57</v>
      </c>
      <c r="J96" t="s">
        <v>58</v>
      </c>
    </row>
    <row r="97" spans="1:10" x14ac:dyDescent="0.25">
      <c r="A97" t="s">
        <v>56</v>
      </c>
      <c r="B97" t="s">
        <v>33</v>
      </c>
      <c r="F97">
        <v>0</v>
      </c>
      <c r="H97" t="s">
        <v>13</v>
      </c>
      <c r="I97" t="s">
        <v>57</v>
      </c>
      <c r="J97" t="s">
        <v>58</v>
      </c>
    </row>
    <row r="98" spans="1:10" x14ac:dyDescent="0.25">
      <c r="A98" t="s">
        <v>56</v>
      </c>
      <c r="B98" t="s">
        <v>34</v>
      </c>
      <c r="F98">
        <v>0</v>
      </c>
      <c r="H98" t="s">
        <v>13</v>
      </c>
      <c r="I98" t="s">
        <v>57</v>
      </c>
      <c r="J98" t="s">
        <v>58</v>
      </c>
    </row>
    <row r="99" spans="1:10" x14ac:dyDescent="0.25">
      <c r="A99" t="s">
        <v>56</v>
      </c>
      <c r="B99" t="s">
        <v>35</v>
      </c>
      <c r="C99">
        <v>1</v>
      </c>
      <c r="D99">
        <v>14</v>
      </c>
      <c r="E99">
        <v>17</v>
      </c>
      <c r="F99">
        <v>1</v>
      </c>
      <c r="G99" t="s">
        <v>39</v>
      </c>
      <c r="H99" t="s">
        <v>13</v>
      </c>
      <c r="I99" t="s">
        <v>57</v>
      </c>
      <c r="J99" t="s">
        <v>58</v>
      </c>
    </row>
    <row r="100" spans="1:10" x14ac:dyDescent="0.25">
      <c r="A100" t="s">
        <v>56</v>
      </c>
      <c r="B100" t="s">
        <v>36</v>
      </c>
      <c r="F100">
        <v>1</v>
      </c>
      <c r="G100" t="s">
        <v>25</v>
      </c>
      <c r="H100" t="s">
        <v>13</v>
      </c>
      <c r="I100" t="s">
        <v>57</v>
      </c>
      <c r="J100" t="s">
        <v>58</v>
      </c>
    </row>
    <row r="101" spans="1:10" x14ac:dyDescent="0.25">
      <c r="A101" t="s">
        <v>56</v>
      </c>
      <c r="B101" t="s">
        <v>37</v>
      </c>
      <c r="C101">
        <v>4</v>
      </c>
      <c r="D101">
        <v>16</v>
      </c>
      <c r="E101">
        <v>17</v>
      </c>
      <c r="F101">
        <v>7</v>
      </c>
      <c r="G101" t="s">
        <v>62</v>
      </c>
      <c r="H101" t="s">
        <v>13</v>
      </c>
      <c r="I101" t="s">
        <v>57</v>
      </c>
      <c r="J101" t="s">
        <v>58</v>
      </c>
    </row>
    <row r="102" spans="1:10" x14ac:dyDescent="0.25">
      <c r="A102" t="s">
        <v>56</v>
      </c>
      <c r="B102" t="s">
        <v>16</v>
      </c>
      <c r="F102">
        <v>0</v>
      </c>
      <c r="H102" t="s">
        <v>13</v>
      </c>
      <c r="I102" t="s">
        <v>57</v>
      </c>
      <c r="J102" t="s">
        <v>58</v>
      </c>
    </row>
    <row r="103" spans="1:10" x14ac:dyDescent="0.25">
      <c r="A103" t="s">
        <v>56</v>
      </c>
      <c r="B103" t="s">
        <v>38</v>
      </c>
      <c r="C103">
        <v>5</v>
      </c>
      <c r="D103">
        <v>17</v>
      </c>
      <c r="E103">
        <v>17</v>
      </c>
      <c r="F103">
        <v>5</v>
      </c>
      <c r="G103" t="s">
        <v>29</v>
      </c>
      <c r="H103" t="s">
        <v>13</v>
      </c>
      <c r="I103" t="s">
        <v>57</v>
      </c>
      <c r="J103" t="s">
        <v>58</v>
      </c>
    </row>
    <row r="104" spans="1:10" x14ac:dyDescent="0.25">
      <c r="A104" t="s">
        <v>56</v>
      </c>
      <c r="B104" t="s">
        <v>16</v>
      </c>
      <c r="F104">
        <v>0</v>
      </c>
      <c r="H104" t="s">
        <v>13</v>
      </c>
      <c r="I104" t="s">
        <v>57</v>
      </c>
      <c r="J104" t="s">
        <v>58</v>
      </c>
    </row>
    <row r="105" spans="1:10" x14ac:dyDescent="0.25">
      <c r="A105" t="s">
        <v>56</v>
      </c>
      <c r="B105" t="s">
        <v>40</v>
      </c>
      <c r="C105">
        <v>4</v>
      </c>
      <c r="D105">
        <v>15</v>
      </c>
      <c r="E105">
        <v>17</v>
      </c>
      <c r="F105">
        <v>1</v>
      </c>
      <c r="G105" t="s">
        <v>20</v>
      </c>
      <c r="H105" t="s">
        <v>13</v>
      </c>
      <c r="I105" t="s">
        <v>57</v>
      </c>
      <c r="J105" t="s">
        <v>58</v>
      </c>
    </row>
    <row r="106" spans="1:10" x14ac:dyDescent="0.25">
      <c r="A106" t="s">
        <v>56</v>
      </c>
      <c r="B106" t="s">
        <v>41</v>
      </c>
      <c r="D106">
        <v>14</v>
      </c>
      <c r="E106">
        <v>17</v>
      </c>
      <c r="F106">
        <v>0</v>
      </c>
      <c r="G106" t="s">
        <v>63</v>
      </c>
      <c r="H106" t="s">
        <v>13</v>
      </c>
      <c r="I106" t="s">
        <v>57</v>
      </c>
      <c r="J106" t="s">
        <v>58</v>
      </c>
    </row>
    <row r="107" spans="1:10" x14ac:dyDescent="0.25">
      <c r="A107" t="s">
        <v>56</v>
      </c>
      <c r="B107" t="s">
        <v>42</v>
      </c>
      <c r="C107">
        <v>5</v>
      </c>
      <c r="D107">
        <v>17</v>
      </c>
      <c r="E107">
        <v>17</v>
      </c>
      <c r="F107">
        <v>3</v>
      </c>
      <c r="G107" t="s">
        <v>48</v>
      </c>
      <c r="H107" t="s">
        <v>13</v>
      </c>
      <c r="I107" t="s">
        <v>57</v>
      </c>
      <c r="J107" t="s">
        <v>58</v>
      </c>
    </row>
    <row r="108" spans="1:10" x14ac:dyDescent="0.25">
      <c r="A108" t="s">
        <v>56</v>
      </c>
      <c r="B108" t="s">
        <v>16</v>
      </c>
      <c r="F108">
        <v>0</v>
      </c>
      <c r="H108" t="s">
        <v>13</v>
      </c>
      <c r="I108" t="s">
        <v>57</v>
      </c>
      <c r="J108" t="s">
        <v>58</v>
      </c>
    </row>
    <row r="109" spans="1:10" x14ac:dyDescent="0.25">
      <c r="A109" t="s">
        <v>56</v>
      </c>
      <c r="B109" t="s">
        <v>43</v>
      </c>
      <c r="C109">
        <v>5</v>
      </c>
      <c r="D109">
        <v>15</v>
      </c>
      <c r="E109">
        <v>17</v>
      </c>
      <c r="F109">
        <v>1</v>
      </c>
      <c r="G109" t="s">
        <v>44</v>
      </c>
      <c r="H109" t="s">
        <v>13</v>
      </c>
      <c r="I109" t="s">
        <v>57</v>
      </c>
      <c r="J109" t="s">
        <v>58</v>
      </c>
    </row>
    <row r="110" spans="1:10" x14ac:dyDescent="0.25">
      <c r="A110" t="s">
        <v>64</v>
      </c>
      <c r="B110" t="s">
        <v>11</v>
      </c>
      <c r="C110">
        <v>5</v>
      </c>
      <c r="D110">
        <v>4</v>
      </c>
      <c r="E110">
        <v>5</v>
      </c>
      <c r="F110">
        <v>3</v>
      </c>
      <c r="G110" t="s">
        <v>52</v>
      </c>
      <c r="H110" t="s">
        <v>13</v>
      </c>
      <c r="I110" t="s">
        <v>65</v>
      </c>
      <c r="J110" t="s">
        <v>15</v>
      </c>
    </row>
    <row r="111" spans="1:10" x14ac:dyDescent="0.25">
      <c r="A111" t="s">
        <v>64</v>
      </c>
      <c r="B111" t="s">
        <v>16</v>
      </c>
      <c r="F111">
        <v>0</v>
      </c>
      <c r="H111" t="s">
        <v>13</v>
      </c>
      <c r="I111" t="s">
        <v>65</v>
      </c>
      <c r="J111" t="s">
        <v>15</v>
      </c>
    </row>
    <row r="112" spans="1:10" x14ac:dyDescent="0.25">
      <c r="A112" t="s">
        <v>64</v>
      </c>
      <c r="B112" t="s">
        <v>17</v>
      </c>
      <c r="D112">
        <v>5</v>
      </c>
      <c r="E112">
        <v>5</v>
      </c>
      <c r="F112">
        <v>0</v>
      </c>
      <c r="G112" t="s">
        <v>66</v>
      </c>
      <c r="H112" t="s">
        <v>13</v>
      </c>
      <c r="I112" t="s">
        <v>65</v>
      </c>
      <c r="J112" t="s">
        <v>15</v>
      </c>
    </row>
    <row r="113" spans="1:10" x14ac:dyDescent="0.25">
      <c r="A113" t="s">
        <v>64</v>
      </c>
      <c r="B113" t="s">
        <v>19</v>
      </c>
      <c r="C113">
        <v>5</v>
      </c>
      <c r="D113">
        <v>5</v>
      </c>
      <c r="E113">
        <v>5</v>
      </c>
      <c r="F113">
        <v>3</v>
      </c>
      <c r="G113" t="s">
        <v>39</v>
      </c>
      <c r="H113" t="s">
        <v>13</v>
      </c>
      <c r="I113" t="s">
        <v>65</v>
      </c>
      <c r="J113" t="s">
        <v>15</v>
      </c>
    </row>
    <row r="114" spans="1:10" x14ac:dyDescent="0.25">
      <c r="A114" t="s">
        <v>64</v>
      </c>
      <c r="B114" t="s">
        <v>21</v>
      </c>
      <c r="C114">
        <v>4</v>
      </c>
      <c r="D114">
        <v>5</v>
      </c>
      <c r="E114">
        <v>5</v>
      </c>
      <c r="F114">
        <v>1</v>
      </c>
      <c r="G114" t="s">
        <v>25</v>
      </c>
      <c r="H114" t="s">
        <v>13</v>
      </c>
      <c r="I114" t="s">
        <v>65</v>
      </c>
      <c r="J114" t="s">
        <v>15</v>
      </c>
    </row>
    <row r="115" spans="1:10" x14ac:dyDescent="0.25">
      <c r="A115" t="s">
        <v>64</v>
      </c>
      <c r="B115" t="s">
        <v>16</v>
      </c>
      <c r="F115">
        <v>0</v>
      </c>
      <c r="H115" t="s">
        <v>13</v>
      </c>
      <c r="I115" t="s">
        <v>65</v>
      </c>
      <c r="J115" t="s">
        <v>15</v>
      </c>
    </row>
    <row r="116" spans="1:10" x14ac:dyDescent="0.25">
      <c r="A116" t="s">
        <v>64</v>
      </c>
      <c r="B116" t="s">
        <v>23</v>
      </c>
      <c r="C116">
        <v>4</v>
      </c>
      <c r="D116">
        <v>5</v>
      </c>
      <c r="E116">
        <v>5</v>
      </c>
      <c r="F116">
        <v>2</v>
      </c>
      <c r="G116" t="s">
        <v>50</v>
      </c>
      <c r="H116" t="s">
        <v>13</v>
      </c>
      <c r="I116" t="s">
        <v>65</v>
      </c>
      <c r="J116" t="s">
        <v>15</v>
      </c>
    </row>
    <row r="117" spans="1:10" x14ac:dyDescent="0.25">
      <c r="A117" t="s">
        <v>64</v>
      </c>
      <c r="B117" t="s">
        <v>24</v>
      </c>
      <c r="C117">
        <v>4</v>
      </c>
      <c r="D117">
        <v>4</v>
      </c>
      <c r="E117">
        <v>5</v>
      </c>
      <c r="F117">
        <v>1</v>
      </c>
      <c r="G117" t="s">
        <v>22</v>
      </c>
      <c r="H117" t="s">
        <v>13</v>
      </c>
      <c r="I117" t="s">
        <v>65</v>
      </c>
      <c r="J117" t="s">
        <v>15</v>
      </c>
    </row>
    <row r="118" spans="1:10" x14ac:dyDescent="0.25">
      <c r="A118" t="s">
        <v>64</v>
      </c>
      <c r="B118" t="s">
        <v>26</v>
      </c>
      <c r="F118">
        <v>0</v>
      </c>
      <c r="H118" t="s">
        <v>13</v>
      </c>
      <c r="I118" t="s">
        <v>65</v>
      </c>
      <c r="J118" t="s">
        <v>15</v>
      </c>
    </row>
    <row r="119" spans="1:10" x14ac:dyDescent="0.25">
      <c r="A119" t="s">
        <v>64</v>
      </c>
      <c r="B119" t="s">
        <v>27</v>
      </c>
      <c r="C119">
        <v>4</v>
      </c>
      <c r="D119">
        <v>4</v>
      </c>
      <c r="E119">
        <v>5</v>
      </c>
      <c r="F119">
        <v>2</v>
      </c>
      <c r="G119" t="s">
        <v>18</v>
      </c>
      <c r="H119" t="s">
        <v>13</v>
      </c>
      <c r="I119" t="s">
        <v>65</v>
      </c>
      <c r="J119" t="s">
        <v>15</v>
      </c>
    </row>
    <row r="120" spans="1:10" x14ac:dyDescent="0.25">
      <c r="A120" t="s">
        <v>64</v>
      </c>
      <c r="B120" t="s">
        <v>28</v>
      </c>
      <c r="C120">
        <v>5</v>
      </c>
      <c r="D120">
        <v>5</v>
      </c>
      <c r="E120">
        <v>5</v>
      </c>
      <c r="F120">
        <v>1</v>
      </c>
      <c r="G120" t="s">
        <v>44</v>
      </c>
      <c r="H120" t="s">
        <v>13</v>
      </c>
      <c r="I120" t="s">
        <v>65</v>
      </c>
      <c r="J120" t="s">
        <v>15</v>
      </c>
    </row>
    <row r="121" spans="1:10" x14ac:dyDescent="0.25">
      <c r="A121" t="s">
        <v>64</v>
      </c>
      <c r="B121" t="s">
        <v>30</v>
      </c>
      <c r="C121">
        <v>4</v>
      </c>
      <c r="D121">
        <v>5</v>
      </c>
      <c r="E121">
        <v>5</v>
      </c>
      <c r="F121">
        <v>1</v>
      </c>
      <c r="G121" t="s">
        <v>50</v>
      </c>
      <c r="H121" t="s">
        <v>13</v>
      </c>
      <c r="I121" t="s">
        <v>65</v>
      </c>
      <c r="J121" t="s">
        <v>15</v>
      </c>
    </row>
    <row r="122" spans="1:10" x14ac:dyDescent="0.25">
      <c r="A122" t="s">
        <v>64</v>
      </c>
      <c r="B122" t="s">
        <v>31</v>
      </c>
      <c r="C122">
        <v>4</v>
      </c>
      <c r="D122">
        <v>5</v>
      </c>
      <c r="E122">
        <v>5</v>
      </c>
      <c r="F122">
        <v>1</v>
      </c>
      <c r="G122" t="s">
        <v>22</v>
      </c>
      <c r="H122" t="s">
        <v>13</v>
      </c>
      <c r="I122" t="s">
        <v>65</v>
      </c>
      <c r="J122" t="s">
        <v>15</v>
      </c>
    </row>
    <row r="123" spans="1:10" x14ac:dyDescent="0.25">
      <c r="A123" t="s">
        <v>64</v>
      </c>
      <c r="B123" t="s">
        <v>32</v>
      </c>
      <c r="F123">
        <v>0</v>
      </c>
      <c r="H123" t="s">
        <v>13</v>
      </c>
      <c r="I123" t="s">
        <v>65</v>
      </c>
      <c r="J123" t="s">
        <v>15</v>
      </c>
    </row>
    <row r="124" spans="1:10" x14ac:dyDescent="0.25">
      <c r="A124" t="s">
        <v>64</v>
      </c>
      <c r="B124" t="s">
        <v>33</v>
      </c>
      <c r="F124">
        <v>0</v>
      </c>
      <c r="H124" t="s">
        <v>13</v>
      </c>
      <c r="I124" t="s">
        <v>65</v>
      </c>
      <c r="J124" t="s">
        <v>15</v>
      </c>
    </row>
    <row r="125" spans="1:10" x14ac:dyDescent="0.25">
      <c r="A125" t="s">
        <v>64</v>
      </c>
      <c r="B125" t="s">
        <v>34</v>
      </c>
      <c r="F125">
        <v>0</v>
      </c>
      <c r="H125" t="s">
        <v>13</v>
      </c>
      <c r="I125" t="s">
        <v>65</v>
      </c>
      <c r="J125" t="s">
        <v>15</v>
      </c>
    </row>
    <row r="126" spans="1:10" x14ac:dyDescent="0.25">
      <c r="A126" t="s">
        <v>64</v>
      </c>
      <c r="B126" t="s">
        <v>35</v>
      </c>
      <c r="C126">
        <v>5</v>
      </c>
      <c r="D126">
        <v>4</v>
      </c>
      <c r="E126">
        <v>5</v>
      </c>
      <c r="F126">
        <v>6</v>
      </c>
      <c r="G126" t="s">
        <v>67</v>
      </c>
      <c r="H126" t="s">
        <v>13</v>
      </c>
      <c r="I126" t="s">
        <v>65</v>
      </c>
      <c r="J126" t="s">
        <v>15</v>
      </c>
    </row>
    <row r="127" spans="1:10" x14ac:dyDescent="0.25">
      <c r="A127" t="s">
        <v>64</v>
      </c>
      <c r="B127" t="s">
        <v>36</v>
      </c>
      <c r="F127">
        <v>1</v>
      </c>
      <c r="G127" t="s">
        <v>22</v>
      </c>
      <c r="H127" t="s">
        <v>13</v>
      </c>
      <c r="I127" t="s">
        <v>65</v>
      </c>
      <c r="J127" t="s">
        <v>15</v>
      </c>
    </row>
    <row r="128" spans="1:10" x14ac:dyDescent="0.25">
      <c r="A128" t="s">
        <v>64</v>
      </c>
      <c r="B128" t="s">
        <v>37</v>
      </c>
      <c r="C128">
        <v>5</v>
      </c>
      <c r="D128">
        <v>5</v>
      </c>
      <c r="E128">
        <v>5</v>
      </c>
      <c r="F128">
        <v>10</v>
      </c>
      <c r="G128" t="s">
        <v>68</v>
      </c>
      <c r="H128" t="s">
        <v>13</v>
      </c>
      <c r="I128" t="s">
        <v>65</v>
      </c>
      <c r="J128" t="s">
        <v>15</v>
      </c>
    </row>
    <row r="129" spans="1:10" x14ac:dyDescent="0.25">
      <c r="A129" t="s">
        <v>64</v>
      </c>
      <c r="B129" t="s">
        <v>16</v>
      </c>
      <c r="F129">
        <v>0</v>
      </c>
      <c r="H129" t="s">
        <v>13</v>
      </c>
      <c r="I129" t="s">
        <v>65</v>
      </c>
      <c r="J129" t="s">
        <v>15</v>
      </c>
    </row>
    <row r="130" spans="1:10" x14ac:dyDescent="0.25">
      <c r="A130" t="s">
        <v>64</v>
      </c>
      <c r="B130" t="s">
        <v>38</v>
      </c>
      <c r="C130">
        <v>4</v>
      </c>
      <c r="D130">
        <v>5</v>
      </c>
      <c r="E130">
        <v>5</v>
      </c>
      <c r="F130">
        <v>1</v>
      </c>
      <c r="G130" t="s">
        <v>52</v>
      </c>
      <c r="H130" t="s">
        <v>13</v>
      </c>
      <c r="I130" t="s">
        <v>65</v>
      </c>
      <c r="J130" t="s">
        <v>15</v>
      </c>
    </row>
    <row r="131" spans="1:10" x14ac:dyDescent="0.25">
      <c r="A131" t="s">
        <v>64</v>
      </c>
      <c r="B131" t="s">
        <v>16</v>
      </c>
      <c r="F131">
        <v>0</v>
      </c>
      <c r="H131" t="s">
        <v>13</v>
      </c>
      <c r="I131" t="s">
        <v>65</v>
      </c>
      <c r="J131" t="s">
        <v>15</v>
      </c>
    </row>
    <row r="132" spans="1:10" x14ac:dyDescent="0.25">
      <c r="A132" t="s">
        <v>64</v>
      </c>
      <c r="B132" t="s">
        <v>40</v>
      </c>
      <c r="C132">
        <v>3</v>
      </c>
      <c r="D132">
        <v>4</v>
      </c>
      <c r="E132">
        <v>5</v>
      </c>
      <c r="F132">
        <v>1</v>
      </c>
      <c r="G132" t="s">
        <v>18</v>
      </c>
      <c r="H132" t="s">
        <v>13</v>
      </c>
      <c r="I132" t="s">
        <v>65</v>
      </c>
      <c r="J132" t="s">
        <v>15</v>
      </c>
    </row>
    <row r="133" spans="1:10" x14ac:dyDescent="0.25">
      <c r="A133" t="s">
        <v>64</v>
      </c>
      <c r="B133" t="s">
        <v>41</v>
      </c>
      <c r="C133">
        <v>3</v>
      </c>
      <c r="D133">
        <v>3</v>
      </c>
      <c r="E133">
        <v>5</v>
      </c>
      <c r="F133">
        <v>1</v>
      </c>
      <c r="G133" t="s">
        <v>18</v>
      </c>
      <c r="H133" t="s">
        <v>13</v>
      </c>
      <c r="I133" t="s">
        <v>65</v>
      </c>
      <c r="J133" t="s">
        <v>15</v>
      </c>
    </row>
    <row r="134" spans="1:10" x14ac:dyDescent="0.25">
      <c r="A134" t="s">
        <v>64</v>
      </c>
      <c r="B134" t="s">
        <v>42</v>
      </c>
      <c r="C134">
        <v>5</v>
      </c>
      <c r="D134">
        <v>5</v>
      </c>
      <c r="E134">
        <v>5</v>
      </c>
      <c r="F134">
        <v>4</v>
      </c>
      <c r="G134" t="s">
        <v>53</v>
      </c>
      <c r="H134" t="s">
        <v>13</v>
      </c>
      <c r="I134" t="s">
        <v>65</v>
      </c>
      <c r="J134" t="s">
        <v>15</v>
      </c>
    </row>
    <row r="135" spans="1:10" x14ac:dyDescent="0.25">
      <c r="A135" t="s">
        <v>64</v>
      </c>
      <c r="B135" t="s">
        <v>16</v>
      </c>
      <c r="F135">
        <v>0</v>
      </c>
      <c r="H135" t="s">
        <v>13</v>
      </c>
      <c r="I135" t="s">
        <v>65</v>
      </c>
      <c r="J135" t="s">
        <v>15</v>
      </c>
    </row>
    <row r="136" spans="1:10" x14ac:dyDescent="0.25">
      <c r="A136" t="s">
        <v>64</v>
      </c>
      <c r="B136" t="s">
        <v>43</v>
      </c>
      <c r="C136">
        <v>4</v>
      </c>
      <c r="D136">
        <v>5</v>
      </c>
      <c r="E136">
        <v>5</v>
      </c>
      <c r="F136">
        <v>2</v>
      </c>
      <c r="G136" t="s">
        <v>39</v>
      </c>
      <c r="H136" t="s">
        <v>13</v>
      </c>
      <c r="I136" t="s">
        <v>65</v>
      </c>
      <c r="J136" t="s">
        <v>15</v>
      </c>
    </row>
    <row r="137" spans="1:10" x14ac:dyDescent="0.25">
      <c r="A137" t="s">
        <v>69</v>
      </c>
      <c r="B137" t="s">
        <v>11</v>
      </c>
      <c r="C137">
        <v>5</v>
      </c>
      <c r="D137">
        <v>6</v>
      </c>
      <c r="E137">
        <v>6</v>
      </c>
      <c r="F137">
        <v>3</v>
      </c>
      <c r="G137" t="s">
        <v>12</v>
      </c>
      <c r="H137" t="s">
        <v>13</v>
      </c>
      <c r="I137" t="s">
        <v>70</v>
      </c>
      <c r="J137" t="s">
        <v>15</v>
      </c>
    </row>
    <row r="138" spans="1:10" x14ac:dyDescent="0.25">
      <c r="A138" t="s">
        <v>69</v>
      </c>
      <c r="B138" t="s">
        <v>16</v>
      </c>
      <c r="F138">
        <v>0</v>
      </c>
      <c r="H138" t="s">
        <v>13</v>
      </c>
      <c r="I138" t="s">
        <v>70</v>
      </c>
      <c r="J138" t="s">
        <v>15</v>
      </c>
    </row>
    <row r="139" spans="1:10" x14ac:dyDescent="0.25">
      <c r="A139" t="s">
        <v>69</v>
      </c>
      <c r="B139" t="s">
        <v>17</v>
      </c>
      <c r="C139">
        <v>5</v>
      </c>
      <c r="D139">
        <v>6</v>
      </c>
      <c r="E139">
        <v>6</v>
      </c>
      <c r="F139">
        <v>5</v>
      </c>
      <c r="G139" t="s">
        <v>18</v>
      </c>
      <c r="H139" t="s">
        <v>13</v>
      </c>
      <c r="I139" t="s">
        <v>70</v>
      </c>
      <c r="J139" t="s">
        <v>15</v>
      </c>
    </row>
    <row r="140" spans="1:10" x14ac:dyDescent="0.25">
      <c r="A140" t="s">
        <v>69</v>
      </c>
      <c r="B140" t="s">
        <v>19</v>
      </c>
      <c r="C140">
        <v>5</v>
      </c>
      <c r="D140">
        <v>6</v>
      </c>
      <c r="E140">
        <v>6</v>
      </c>
      <c r="F140">
        <v>2</v>
      </c>
      <c r="G140" t="s">
        <v>12</v>
      </c>
      <c r="H140" t="s">
        <v>13</v>
      </c>
      <c r="I140" t="s">
        <v>70</v>
      </c>
      <c r="J140" t="s">
        <v>15</v>
      </c>
    </row>
    <row r="141" spans="1:10" x14ac:dyDescent="0.25">
      <c r="A141" t="s">
        <v>69</v>
      </c>
      <c r="B141" t="s">
        <v>21</v>
      </c>
      <c r="C141">
        <v>4</v>
      </c>
      <c r="D141">
        <v>5</v>
      </c>
      <c r="E141">
        <v>6</v>
      </c>
      <c r="F141">
        <v>1</v>
      </c>
      <c r="G141" t="s">
        <v>47</v>
      </c>
      <c r="H141" t="s">
        <v>13</v>
      </c>
      <c r="I141" t="s">
        <v>70</v>
      </c>
      <c r="J141" t="s">
        <v>15</v>
      </c>
    </row>
    <row r="142" spans="1:10" x14ac:dyDescent="0.25">
      <c r="A142" t="s">
        <v>69</v>
      </c>
      <c r="B142" t="s">
        <v>16</v>
      </c>
      <c r="F142">
        <v>0</v>
      </c>
      <c r="H142" t="s">
        <v>13</v>
      </c>
      <c r="I142" t="s">
        <v>70</v>
      </c>
      <c r="J142" t="s">
        <v>15</v>
      </c>
    </row>
    <row r="143" spans="1:10" x14ac:dyDescent="0.25">
      <c r="A143" t="s">
        <v>69</v>
      </c>
      <c r="B143" t="s">
        <v>23</v>
      </c>
      <c r="C143">
        <v>4</v>
      </c>
      <c r="D143">
        <v>5</v>
      </c>
      <c r="E143">
        <v>6</v>
      </c>
      <c r="F143">
        <v>2</v>
      </c>
      <c r="G143" t="s">
        <v>25</v>
      </c>
      <c r="H143" t="s">
        <v>13</v>
      </c>
      <c r="I143" t="s">
        <v>70</v>
      </c>
      <c r="J143" t="s">
        <v>15</v>
      </c>
    </row>
    <row r="144" spans="1:10" x14ac:dyDescent="0.25">
      <c r="A144" t="s">
        <v>69</v>
      </c>
      <c r="B144" t="s">
        <v>24</v>
      </c>
      <c r="C144">
        <v>5</v>
      </c>
      <c r="D144">
        <v>6</v>
      </c>
      <c r="E144">
        <v>6</v>
      </c>
      <c r="F144">
        <v>2</v>
      </c>
      <c r="G144" t="s">
        <v>12</v>
      </c>
      <c r="H144" t="s">
        <v>13</v>
      </c>
      <c r="I144" t="s">
        <v>70</v>
      </c>
      <c r="J144" t="s">
        <v>15</v>
      </c>
    </row>
    <row r="145" spans="1:10" x14ac:dyDescent="0.25">
      <c r="A145" t="s">
        <v>69</v>
      </c>
      <c r="B145" t="s">
        <v>26</v>
      </c>
      <c r="F145">
        <v>0</v>
      </c>
      <c r="H145" t="s">
        <v>13</v>
      </c>
      <c r="I145" t="s">
        <v>70</v>
      </c>
      <c r="J145" t="s">
        <v>15</v>
      </c>
    </row>
    <row r="146" spans="1:10" x14ac:dyDescent="0.25">
      <c r="A146" t="s">
        <v>69</v>
      </c>
      <c r="B146" t="s">
        <v>27</v>
      </c>
      <c r="C146">
        <v>4</v>
      </c>
      <c r="D146">
        <v>3</v>
      </c>
      <c r="E146">
        <v>6</v>
      </c>
      <c r="F146">
        <v>2</v>
      </c>
      <c r="G146" t="s">
        <v>25</v>
      </c>
      <c r="H146" t="s">
        <v>13</v>
      </c>
      <c r="I146" t="s">
        <v>70</v>
      </c>
      <c r="J146" t="s">
        <v>15</v>
      </c>
    </row>
    <row r="147" spans="1:10" x14ac:dyDescent="0.25">
      <c r="A147" t="s">
        <v>69</v>
      </c>
      <c r="B147" t="s">
        <v>28</v>
      </c>
      <c r="C147">
        <v>5</v>
      </c>
      <c r="D147">
        <v>6</v>
      </c>
      <c r="E147">
        <v>6</v>
      </c>
      <c r="F147">
        <v>6</v>
      </c>
      <c r="G147" t="s">
        <v>22</v>
      </c>
      <c r="H147" t="s">
        <v>13</v>
      </c>
      <c r="I147" t="s">
        <v>70</v>
      </c>
      <c r="J147" t="s">
        <v>15</v>
      </c>
    </row>
    <row r="148" spans="1:10" x14ac:dyDescent="0.25">
      <c r="A148" t="s">
        <v>69</v>
      </c>
      <c r="B148" t="s">
        <v>30</v>
      </c>
      <c r="C148">
        <v>5</v>
      </c>
      <c r="D148">
        <v>6</v>
      </c>
      <c r="E148">
        <v>6</v>
      </c>
      <c r="F148">
        <v>2</v>
      </c>
      <c r="G148" t="s">
        <v>12</v>
      </c>
      <c r="H148" t="s">
        <v>13</v>
      </c>
      <c r="I148" t="s">
        <v>70</v>
      </c>
      <c r="J148" t="s">
        <v>15</v>
      </c>
    </row>
    <row r="149" spans="1:10" x14ac:dyDescent="0.25">
      <c r="A149" t="s">
        <v>69</v>
      </c>
      <c r="B149" t="s">
        <v>31</v>
      </c>
      <c r="C149">
        <v>4</v>
      </c>
      <c r="D149">
        <v>4</v>
      </c>
      <c r="E149">
        <v>6</v>
      </c>
      <c r="F149">
        <v>1</v>
      </c>
      <c r="G149" t="s">
        <v>47</v>
      </c>
      <c r="H149" t="s">
        <v>13</v>
      </c>
      <c r="I149" t="s">
        <v>70</v>
      </c>
      <c r="J149" t="s">
        <v>15</v>
      </c>
    </row>
    <row r="150" spans="1:10" x14ac:dyDescent="0.25">
      <c r="A150" t="s">
        <v>69</v>
      </c>
      <c r="B150" t="s">
        <v>32</v>
      </c>
      <c r="F150">
        <v>0</v>
      </c>
      <c r="H150" t="s">
        <v>13</v>
      </c>
      <c r="I150" t="s">
        <v>70</v>
      </c>
      <c r="J150" t="s">
        <v>15</v>
      </c>
    </row>
    <row r="151" spans="1:10" x14ac:dyDescent="0.25">
      <c r="A151" t="s">
        <v>69</v>
      </c>
      <c r="B151" t="s">
        <v>33</v>
      </c>
      <c r="F151">
        <v>0</v>
      </c>
      <c r="H151" t="s">
        <v>13</v>
      </c>
      <c r="I151" t="s">
        <v>70</v>
      </c>
      <c r="J151" t="s">
        <v>15</v>
      </c>
    </row>
    <row r="152" spans="1:10" x14ac:dyDescent="0.25">
      <c r="A152" t="s">
        <v>69</v>
      </c>
      <c r="B152" t="s">
        <v>34</v>
      </c>
      <c r="F152">
        <v>0</v>
      </c>
      <c r="H152" t="s">
        <v>13</v>
      </c>
      <c r="I152" t="s">
        <v>70</v>
      </c>
      <c r="J152" t="s">
        <v>15</v>
      </c>
    </row>
    <row r="153" spans="1:10" x14ac:dyDescent="0.25">
      <c r="A153" t="s">
        <v>69</v>
      </c>
      <c r="B153" t="s">
        <v>35</v>
      </c>
      <c r="C153">
        <v>5</v>
      </c>
      <c r="D153">
        <v>5</v>
      </c>
      <c r="E153">
        <v>6</v>
      </c>
      <c r="F153">
        <v>22</v>
      </c>
      <c r="G153" t="s">
        <v>71</v>
      </c>
      <c r="H153" t="s">
        <v>13</v>
      </c>
      <c r="I153" t="s">
        <v>70</v>
      </c>
      <c r="J153" t="s">
        <v>15</v>
      </c>
    </row>
    <row r="154" spans="1:10" x14ac:dyDescent="0.25">
      <c r="A154" t="s">
        <v>69</v>
      </c>
      <c r="B154" t="s">
        <v>36</v>
      </c>
      <c r="F154">
        <v>1</v>
      </c>
      <c r="G154" t="s">
        <v>47</v>
      </c>
      <c r="H154" t="s">
        <v>13</v>
      </c>
      <c r="I154" t="s">
        <v>70</v>
      </c>
      <c r="J154" t="s">
        <v>15</v>
      </c>
    </row>
    <row r="155" spans="1:10" x14ac:dyDescent="0.25">
      <c r="A155" t="s">
        <v>69</v>
      </c>
      <c r="B155" t="s">
        <v>37</v>
      </c>
      <c r="C155">
        <v>5</v>
      </c>
      <c r="D155">
        <v>6</v>
      </c>
      <c r="E155">
        <v>6</v>
      </c>
      <c r="F155">
        <v>5</v>
      </c>
      <c r="G155" t="s">
        <v>18</v>
      </c>
      <c r="H155" t="s">
        <v>13</v>
      </c>
      <c r="I155" t="s">
        <v>70</v>
      </c>
      <c r="J155" t="s">
        <v>15</v>
      </c>
    </row>
    <row r="156" spans="1:10" x14ac:dyDescent="0.25">
      <c r="A156" t="s">
        <v>69</v>
      </c>
      <c r="B156" t="s">
        <v>16</v>
      </c>
      <c r="F156">
        <v>0</v>
      </c>
      <c r="H156" t="s">
        <v>13</v>
      </c>
      <c r="I156" t="s">
        <v>70</v>
      </c>
      <c r="J156" t="s">
        <v>15</v>
      </c>
    </row>
    <row r="157" spans="1:10" x14ac:dyDescent="0.25">
      <c r="A157" t="s">
        <v>69</v>
      </c>
      <c r="B157" t="s">
        <v>38</v>
      </c>
      <c r="C157">
        <v>5</v>
      </c>
      <c r="D157">
        <v>6</v>
      </c>
      <c r="E157">
        <v>6</v>
      </c>
      <c r="F157">
        <v>7</v>
      </c>
      <c r="G157" t="s">
        <v>50</v>
      </c>
      <c r="H157" t="s">
        <v>13</v>
      </c>
      <c r="I157" t="s">
        <v>70</v>
      </c>
      <c r="J157" t="s">
        <v>15</v>
      </c>
    </row>
    <row r="158" spans="1:10" x14ac:dyDescent="0.25">
      <c r="A158" t="s">
        <v>69</v>
      </c>
      <c r="B158" t="s">
        <v>16</v>
      </c>
      <c r="F158">
        <v>0</v>
      </c>
      <c r="H158" t="s">
        <v>13</v>
      </c>
      <c r="I158" t="s">
        <v>70</v>
      </c>
      <c r="J158" t="s">
        <v>15</v>
      </c>
    </row>
    <row r="159" spans="1:10" x14ac:dyDescent="0.25">
      <c r="A159" t="s">
        <v>69</v>
      </c>
      <c r="B159" t="s">
        <v>40</v>
      </c>
      <c r="C159">
        <v>4</v>
      </c>
      <c r="D159">
        <v>5</v>
      </c>
      <c r="E159">
        <v>6</v>
      </c>
      <c r="F159">
        <v>2</v>
      </c>
      <c r="G159" t="s">
        <v>25</v>
      </c>
      <c r="H159" t="s">
        <v>13</v>
      </c>
      <c r="I159" t="s">
        <v>70</v>
      </c>
      <c r="J159" t="s">
        <v>15</v>
      </c>
    </row>
    <row r="160" spans="1:10" x14ac:dyDescent="0.25">
      <c r="A160" t="s">
        <v>69</v>
      </c>
      <c r="B160" t="s">
        <v>41</v>
      </c>
      <c r="C160">
        <v>4</v>
      </c>
      <c r="D160">
        <v>4</v>
      </c>
      <c r="E160">
        <v>6</v>
      </c>
      <c r="F160">
        <v>1</v>
      </c>
      <c r="G160" t="s">
        <v>47</v>
      </c>
      <c r="H160" t="s">
        <v>13</v>
      </c>
      <c r="I160" t="s">
        <v>70</v>
      </c>
      <c r="J160" t="s">
        <v>15</v>
      </c>
    </row>
    <row r="161" spans="1:10" x14ac:dyDescent="0.25">
      <c r="A161" t="s">
        <v>69</v>
      </c>
      <c r="B161" t="s">
        <v>42</v>
      </c>
      <c r="C161">
        <v>5</v>
      </c>
      <c r="D161">
        <v>6</v>
      </c>
      <c r="E161">
        <v>6</v>
      </c>
      <c r="F161">
        <v>3</v>
      </c>
      <c r="G161" t="s">
        <v>12</v>
      </c>
      <c r="H161" t="s">
        <v>13</v>
      </c>
      <c r="I161" t="s">
        <v>70</v>
      </c>
      <c r="J161" t="s">
        <v>15</v>
      </c>
    </row>
    <row r="162" spans="1:10" x14ac:dyDescent="0.25">
      <c r="A162" t="s">
        <v>69</v>
      </c>
      <c r="B162" t="s">
        <v>16</v>
      </c>
      <c r="F162">
        <v>0</v>
      </c>
      <c r="H162" t="s">
        <v>13</v>
      </c>
      <c r="I162" t="s">
        <v>70</v>
      </c>
      <c r="J162" t="s">
        <v>15</v>
      </c>
    </row>
    <row r="163" spans="1:10" x14ac:dyDescent="0.25">
      <c r="A163" t="s">
        <v>69</v>
      </c>
      <c r="B163" t="s">
        <v>43</v>
      </c>
      <c r="C163">
        <v>5</v>
      </c>
      <c r="D163">
        <v>6</v>
      </c>
      <c r="E163">
        <v>6</v>
      </c>
      <c r="F163">
        <v>4</v>
      </c>
      <c r="G163" t="s">
        <v>52</v>
      </c>
      <c r="H163" t="s">
        <v>13</v>
      </c>
      <c r="I163" t="s">
        <v>70</v>
      </c>
      <c r="J163" t="s">
        <v>15</v>
      </c>
    </row>
    <row r="164" spans="1:10" x14ac:dyDescent="0.25">
      <c r="A164" t="s">
        <v>72</v>
      </c>
      <c r="B164" t="s">
        <v>11</v>
      </c>
      <c r="C164">
        <v>4</v>
      </c>
      <c r="D164">
        <v>4</v>
      </c>
      <c r="E164">
        <v>6</v>
      </c>
      <c r="F164">
        <v>2</v>
      </c>
      <c r="G164" t="s">
        <v>18</v>
      </c>
      <c r="H164" t="s">
        <v>13</v>
      </c>
      <c r="I164" t="s">
        <v>73</v>
      </c>
      <c r="J164" t="s">
        <v>15</v>
      </c>
    </row>
    <row r="165" spans="1:10" x14ac:dyDescent="0.25">
      <c r="A165" t="s">
        <v>72</v>
      </c>
      <c r="B165" t="s">
        <v>16</v>
      </c>
      <c r="F165">
        <v>0</v>
      </c>
      <c r="H165" t="s">
        <v>13</v>
      </c>
      <c r="I165" t="s">
        <v>73</v>
      </c>
      <c r="J165" t="s">
        <v>15</v>
      </c>
    </row>
    <row r="166" spans="1:10" x14ac:dyDescent="0.25">
      <c r="A166" t="s">
        <v>72</v>
      </c>
      <c r="B166" t="s">
        <v>17</v>
      </c>
      <c r="C166">
        <v>5</v>
      </c>
      <c r="D166">
        <v>6</v>
      </c>
      <c r="E166">
        <v>6</v>
      </c>
      <c r="F166">
        <v>14</v>
      </c>
      <c r="G166" t="s">
        <v>74</v>
      </c>
      <c r="H166" t="s">
        <v>13</v>
      </c>
      <c r="I166" t="s">
        <v>73</v>
      </c>
      <c r="J166" t="s">
        <v>15</v>
      </c>
    </row>
    <row r="167" spans="1:10" x14ac:dyDescent="0.25">
      <c r="A167" t="s">
        <v>72</v>
      </c>
      <c r="B167" t="s">
        <v>19</v>
      </c>
      <c r="C167">
        <v>4</v>
      </c>
      <c r="D167">
        <v>5</v>
      </c>
      <c r="E167">
        <v>6</v>
      </c>
      <c r="F167">
        <v>4</v>
      </c>
      <c r="G167" t="s">
        <v>50</v>
      </c>
      <c r="H167" t="s">
        <v>13</v>
      </c>
      <c r="I167" t="s">
        <v>73</v>
      </c>
      <c r="J167" t="s">
        <v>15</v>
      </c>
    </row>
    <row r="168" spans="1:10" x14ac:dyDescent="0.25">
      <c r="A168" t="s">
        <v>72</v>
      </c>
      <c r="B168" t="s">
        <v>21</v>
      </c>
      <c r="C168">
        <v>5</v>
      </c>
      <c r="D168">
        <v>1</v>
      </c>
      <c r="E168">
        <v>6</v>
      </c>
      <c r="F168">
        <v>2</v>
      </c>
      <c r="G168" t="s">
        <v>12</v>
      </c>
      <c r="H168" t="s">
        <v>13</v>
      </c>
      <c r="I168" t="s">
        <v>73</v>
      </c>
      <c r="J168" t="s">
        <v>15</v>
      </c>
    </row>
    <row r="169" spans="1:10" x14ac:dyDescent="0.25">
      <c r="A169" t="s">
        <v>72</v>
      </c>
      <c r="B169" t="s">
        <v>16</v>
      </c>
      <c r="F169">
        <v>0</v>
      </c>
      <c r="H169" t="s">
        <v>13</v>
      </c>
      <c r="I169" t="s">
        <v>73</v>
      </c>
      <c r="J169" t="s">
        <v>15</v>
      </c>
    </row>
    <row r="170" spans="1:10" x14ac:dyDescent="0.25">
      <c r="A170" t="s">
        <v>72</v>
      </c>
      <c r="B170" t="s">
        <v>23</v>
      </c>
      <c r="C170">
        <v>5</v>
      </c>
      <c r="D170">
        <v>5</v>
      </c>
      <c r="E170">
        <v>6</v>
      </c>
      <c r="F170">
        <v>9</v>
      </c>
      <c r="G170" t="s">
        <v>75</v>
      </c>
      <c r="H170" t="s">
        <v>13</v>
      </c>
      <c r="I170" t="s">
        <v>73</v>
      </c>
      <c r="J170" t="s">
        <v>15</v>
      </c>
    </row>
    <row r="171" spans="1:10" x14ac:dyDescent="0.25">
      <c r="A171" t="s">
        <v>72</v>
      </c>
      <c r="B171" t="s">
        <v>24</v>
      </c>
      <c r="C171">
        <v>4</v>
      </c>
      <c r="D171">
        <v>4</v>
      </c>
      <c r="E171">
        <v>6</v>
      </c>
      <c r="F171">
        <v>1</v>
      </c>
      <c r="G171" t="s">
        <v>25</v>
      </c>
      <c r="H171" t="s">
        <v>13</v>
      </c>
      <c r="I171" t="s">
        <v>73</v>
      </c>
      <c r="J171" t="s">
        <v>15</v>
      </c>
    </row>
    <row r="172" spans="1:10" x14ac:dyDescent="0.25">
      <c r="A172" t="s">
        <v>72</v>
      </c>
      <c r="B172" t="s">
        <v>26</v>
      </c>
      <c r="F172">
        <v>0</v>
      </c>
      <c r="H172" t="s">
        <v>13</v>
      </c>
      <c r="I172" t="s">
        <v>73</v>
      </c>
      <c r="J172" t="s">
        <v>15</v>
      </c>
    </row>
    <row r="173" spans="1:10" x14ac:dyDescent="0.25">
      <c r="A173" t="s">
        <v>72</v>
      </c>
      <c r="B173" t="s">
        <v>27</v>
      </c>
      <c r="C173">
        <v>5</v>
      </c>
      <c r="D173">
        <v>3</v>
      </c>
      <c r="E173">
        <v>6</v>
      </c>
      <c r="F173">
        <v>1</v>
      </c>
      <c r="G173" t="s">
        <v>12</v>
      </c>
      <c r="H173" t="s">
        <v>13</v>
      </c>
      <c r="I173" t="s">
        <v>73</v>
      </c>
      <c r="J173" t="s">
        <v>15</v>
      </c>
    </row>
    <row r="174" spans="1:10" x14ac:dyDescent="0.25">
      <c r="A174" t="s">
        <v>72</v>
      </c>
      <c r="B174" t="s">
        <v>28</v>
      </c>
      <c r="C174">
        <v>5</v>
      </c>
      <c r="D174">
        <v>3</v>
      </c>
      <c r="E174">
        <v>6</v>
      </c>
      <c r="F174">
        <v>1</v>
      </c>
      <c r="G174" t="s">
        <v>53</v>
      </c>
      <c r="H174" t="s">
        <v>13</v>
      </c>
      <c r="I174" t="s">
        <v>73</v>
      </c>
      <c r="J174" t="s">
        <v>15</v>
      </c>
    </row>
    <row r="175" spans="1:10" x14ac:dyDescent="0.25">
      <c r="A175" t="s">
        <v>72</v>
      </c>
      <c r="B175" t="s">
        <v>30</v>
      </c>
      <c r="C175">
        <v>4</v>
      </c>
      <c r="D175">
        <v>4</v>
      </c>
      <c r="E175">
        <v>6</v>
      </c>
      <c r="F175">
        <v>2</v>
      </c>
      <c r="G175" t="s">
        <v>18</v>
      </c>
      <c r="H175" t="s">
        <v>13</v>
      </c>
      <c r="I175" t="s">
        <v>73</v>
      </c>
      <c r="J175" t="s">
        <v>15</v>
      </c>
    </row>
    <row r="176" spans="1:10" x14ac:dyDescent="0.25">
      <c r="A176" t="s">
        <v>72</v>
      </c>
      <c r="B176" t="s">
        <v>31</v>
      </c>
      <c r="C176">
        <v>4</v>
      </c>
      <c r="D176">
        <v>6</v>
      </c>
      <c r="E176">
        <v>6</v>
      </c>
      <c r="F176">
        <v>1</v>
      </c>
      <c r="G176" t="s">
        <v>25</v>
      </c>
      <c r="H176" t="s">
        <v>13</v>
      </c>
      <c r="I176" t="s">
        <v>73</v>
      </c>
      <c r="J176" t="s">
        <v>15</v>
      </c>
    </row>
    <row r="177" spans="1:10" x14ac:dyDescent="0.25">
      <c r="A177" t="s">
        <v>72</v>
      </c>
      <c r="B177" t="s">
        <v>32</v>
      </c>
      <c r="F177">
        <v>0</v>
      </c>
      <c r="H177" t="s">
        <v>13</v>
      </c>
      <c r="I177" t="s">
        <v>73</v>
      </c>
      <c r="J177" t="s">
        <v>15</v>
      </c>
    </row>
    <row r="178" spans="1:10" x14ac:dyDescent="0.25">
      <c r="A178" t="s">
        <v>72</v>
      </c>
      <c r="B178" t="s">
        <v>33</v>
      </c>
      <c r="F178">
        <v>0</v>
      </c>
      <c r="H178" t="s">
        <v>13</v>
      </c>
      <c r="I178" t="s">
        <v>73</v>
      </c>
      <c r="J178" t="s">
        <v>15</v>
      </c>
    </row>
    <row r="179" spans="1:10" x14ac:dyDescent="0.25">
      <c r="A179" t="s">
        <v>72</v>
      </c>
      <c r="B179" t="s">
        <v>34</v>
      </c>
      <c r="F179">
        <v>0</v>
      </c>
      <c r="H179" t="s">
        <v>13</v>
      </c>
      <c r="I179" t="s">
        <v>73</v>
      </c>
      <c r="J179" t="s">
        <v>15</v>
      </c>
    </row>
    <row r="180" spans="1:10" x14ac:dyDescent="0.25">
      <c r="A180" t="s">
        <v>72</v>
      </c>
      <c r="B180" t="s">
        <v>35</v>
      </c>
      <c r="C180">
        <v>5</v>
      </c>
      <c r="D180">
        <v>4</v>
      </c>
      <c r="E180">
        <v>6</v>
      </c>
      <c r="F180">
        <v>13</v>
      </c>
      <c r="G180" t="s">
        <v>76</v>
      </c>
      <c r="H180" t="s">
        <v>13</v>
      </c>
      <c r="I180" t="s">
        <v>73</v>
      </c>
      <c r="J180" t="s">
        <v>15</v>
      </c>
    </row>
    <row r="181" spans="1:10" x14ac:dyDescent="0.25">
      <c r="A181" t="s">
        <v>72</v>
      </c>
      <c r="B181" t="s">
        <v>36</v>
      </c>
      <c r="F181">
        <v>0</v>
      </c>
      <c r="H181" t="s">
        <v>13</v>
      </c>
      <c r="I181" t="s">
        <v>73</v>
      </c>
      <c r="J181" t="s">
        <v>15</v>
      </c>
    </row>
    <row r="182" spans="1:10" x14ac:dyDescent="0.25">
      <c r="A182" t="s">
        <v>72</v>
      </c>
      <c r="B182" t="s">
        <v>37</v>
      </c>
      <c r="C182">
        <v>5</v>
      </c>
      <c r="D182">
        <v>5</v>
      </c>
      <c r="E182">
        <v>6</v>
      </c>
      <c r="F182">
        <v>7</v>
      </c>
      <c r="G182" t="s">
        <v>54</v>
      </c>
      <c r="H182" t="s">
        <v>13</v>
      </c>
      <c r="I182" t="s">
        <v>73</v>
      </c>
      <c r="J182" t="s">
        <v>15</v>
      </c>
    </row>
    <row r="183" spans="1:10" x14ac:dyDescent="0.25">
      <c r="A183" t="s">
        <v>72</v>
      </c>
      <c r="B183" t="s">
        <v>16</v>
      </c>
      <c r="F183">
        <v>0</v>
      </c>
      <c r="H183" t="s">
        <v>13</v>
      </c>
      <c r="I183" t="s">
        <v>73</v>
      </c>
      <c r="J183" t="s">
        <v>15</v>
      </c>
    </row>
    <row r="184" spans="1:10" x14ac:dyDescent="0.25">
      <c r="A184" t="s">
        <v>72</v>
      </c>
      <c r="B184" t="s">
        <v>38</v>
      </c>
      <c r="C184">
        <v>5</v>
      </c>
      <c r="D184">
        <v>6</v>
      </c>
      <c r="E184">
        <v>6</v>
      </c>
      <c r="F184">
        <v>12</v>
      </c>
      <c r="G184" t="s">
        <v>75</v>
      </c>
      <c r="H184" t="s">
        <v>13</v>
      </c>
      <c r="I184" t="s">
        <v>73</v>
      </c>
      <c r="J184" t="s">
        <v>15</v>
      </c>
    </row>
    <row r="185" spans="1:10" x14ac:dyDescent="0.25">
      <c r="A185" t="s">
        <v>72</v>
      </c>
      <c r="B185" t="s">
        <v>16</v>
      </c>
      <c r="F185">
        <v>0</v>
      </c>
      <c r="H185" t="s">
        <v>13</v>
      </c>
      <c r="I185" t="s">
        <v>73</v>
      </c>
      <c r="J185" t="s">
        <v>15</v>
      </c>
    </row>
    <row r="186" spans="1:10" x14ac:dyDescent="0.25">
      <c r="A186" t="s">
        <v>72</v>
      </c>
      <c r="B186" t="s">
        <v>40</v>
      </c>
      <c r="C186">
        <v>5</v>
      </c>
      <c r="D186">
        <v>6</v>
      </c>
      <c r="E186">
        <v>6</v>
      </c>
      <c r="F186">
        <v>1</v>
      </c>
      <c r="G186" t="s">
        <v>12</v>
      </c>
      <c r="H186" t="s">
        <v>13</v>
      </c>
      <c r="I186" t="s">
        <v>73</v>
      </c>
      <c r="J186" t="s">
        <v>15</v>
      </c>
    </row>
    <row r="187" spans="1:10" x14ac:dyDescent="0.25">
      <c r="A187" t="s">
        <v>72</v>
      </c>
      <c r="B187" t="s">
        <v>41</v>
      </c>
      <c r="C187">
        <v>4</v>
      </c>
      <c r="D187">
        <v>5</v>
      </c>
      <c r="E187">
        <v>6</v>
      </c>
      <c r="F187">
        <v>1</v>
      </c>
      <c r="G187" t="s">
        <v>25</v>
      </c>
      <c r="H187" t="s">
        <v>13</v>
      </c>
      <c r="I187" t="s">
        <v>73</v>
      </c>
      <c r="J187" t="s">
        <v>15</v>
      </c>
    </row>
    <row r="188" spans="1:10" x14ac:dyDescent="0.25">
      <c r="A188" t="s">
        <v>72</v>
      </c>
      <c r="B188" t="s">
        <v>42</v>
      </c>
      <c r="C188">
        <v>5</v>
      </c>
      <c r="D188">
        <v>6</v>
      </c>
      <c r="E188">
        <v>6</v>
      </c>
      <c r="F188">
        <v>11</v>
      </c>
      <c r="G188" t="s">
        <v>54</v>
      </c>
      <c r="H188" t="s">
        <v>13</v>
      </c>
      <c r="I188" t="s">
        <v>73</v>
      </c>
      <c r="J188" t="s">
        <v>15</v>
      </c>
    </row>
    <row r="189" spans="1:10" x14ac:dyDescent="0.25">
      <c r="A189" t="s">
        <v>72</v>
      </c>
      <c r="B189" t="s">
        <v>16</v>
      </c>
      <c r="F189">
        <v>0</v>
      </c>
      <c r="H189" t="s">
        <v>13</v>
      </c>
      <c r="I189" t="s">
        <v>73</v>
      </c>
      <c r="J189" t="s">
        <v>15</v>
      </c>
    </row>
    <row r="190" spans="1:10" x14ac:dyDescent="0.25">
      <c r="A190" t="s">
        <v>72</v>
      </c>
      <c r="B190" t="s">
        <v>43</v>
      </c>
      <c r="C190">
        <v>4</v>
      </c>
      <c r="D190">
        <v>6</v>
      </c>
      <c r="E190">
        <v>6</v>
      </c>
      <c r="F190">
        <v>2</v>
      </c>
      <c r="G190" t="s">
        <v>18</v>
      </c>
      <c r="H190" t="s">
        <v>13</v>
      </c>
      <c r="I190" t="s">
        <v>73</v>
      </c>
      <c r="J190" t="s">
        <v>15</v>
      </c>
    </row>
    <row r="191" spans="1:10" x14ac:dyDescent="0.25">
      <c r="A191" t="s">
        <v>77</v>
      </c>
      <c r="B191" t="s">
        <v>11</v>
      </c>
      <c r="C191">
        <v>5</v>
      </c>
      <c r="D191">
        <v>4</v>
      </c>
      <c r="E191">
        <v>5</v>
      </c>
      <c r="F191">
        <v>4</v>
      </c>
      <c r="G191" t="s">
        <v>44</v>
      </c>
      <c r="H191" t="s">
        <v>13</v>
      </c>
      <c r="I191" t="s">
        <v>78</v>
      </c>
      <c r="J191" t="s">
        <v>15</v>
      </c>
    </row>
    <row r="192" spans="1:10" x14ac:dyDescent="0.25">
      <c r="A192" t="s">
        <v>77</v>
      </c>
      <c r="B192" t="s">
        <v>16</v>
      </c>
      <c r="F192">
        <v>0</v>
      </c>
      <c r="H192" t="s">
        <v>13</v>
      </c>
      <c r="I192" t="s">
        <v>78</v>
      </c>
      <c r="J192" t="s">
        <v>15</v>
      </c>
    </row>
    <row r="193" spans="1:10" x14ac:dyDescent="0.25">
      <c r="A193" t="s">
        <v>77</v>
      </c>
      <c r="B193" t="s">
        <v>17</v>
      </c>
      <c r="C193">
        <v>4</v>
      </c>
      <c r="D193">
        <v>5</v>
      </c>
      <c r="E193">
        <v>5</v>
      </c>
      <c r="F193">
        <v>3</v>
      </c>
      <c r="G193" t="s">
        <v>79</v>
      </c>
      <c r="H193" t="s">
        <v>13</v>
      </c>
      <c r="I193" t="s">
        <v>78</v>
      </c>
      <c r="J193" t="s">
        <v>15</v>
      </c>
    </row>
    <row r="194" spans="1:10" x14ac:dyDescent="0.25">
      <c r="A194" t="s">
        <v>77</v>
      </c>
      <c r="B194" t="s">
        <v>19</v>
      </c>
      <c r="C194">
        <v>5</v>
      </c>
      <c r="D194">
        <v>5</v>
      </c>
      <c r="E194">
        <v>5</v>
      </c>
      <c r="F194">
        <v>2</v>
      </c>
      <c r="G194" t="s">
        <v>53</v>
      </c>
      <c r="H194" t="s">
        <v>13</v>
      </c>
      <c r="I194" t="s">
        <v>78</v>
      </c>
      <c r="J194" t="s">
        <v>15</v>
      </c>
    </row>
    <row r="195" spans="1:10" x14ac:dyDescent="0.25">
      <c r="A195" t="s">
        <v>77</v>
      </c>
      <c r="B195" t="s">
        <v>21</v>
      </c>
      <c r="D195">
        <v>1</v>
      </c>
      <c r="E195">
        <v>5</v>
      </c>
      <c r="F195">
        <v>0</v>
      </c>
      <c r="G195" t="s">
        <v>80</v>
      </c>
      <c r="H195" t="s">
        <v>13</v>
      </c>
      <c r="I195" t="s">
        <v>78</v>
      </c>
      <c r="J195" t="s">
        <v>15</v>
      </c>
    </row>
    <row r="196" spans="1:10" x14ac:dyDescent="0.25">
      <c r="A196" t="s">
        <v>77</v>
      </c>
      <c r="B196" t="s">
        <v>16</v>
      </c>
      <c r="F196">
        <v>0</v>
      </c>
      <c r="H196" t="s">
        <v>13</v>
      </c>
      <c r="I196" t="s">
        <v>78</v>
      </c>
      <c r="J196" t="s">
        <v>15</v>
      </c>
    </row>
    <row r="197" spans="1:10" x14ac:dyDescent="0.25">
      <c r="A197" t="s">
        <v>77</v>
      </c>
      <c r="B197" t="s">
        <v>23</v>
      </c>
      <c r="C197">
        <v>5</v>
      </c>
      <c r="D197">
        <v>5</v>
      </c>
      <c r="E197">
        <v>5</v>
      </c>
      <c r="F197">
        <v>6</v>
      </c>
      <c r="G197" t="s">
        <v>39</v>
      </c>
      <c r="H197" t="s">
        <v>13</v>
      </c>
      <c r="I197" t="s">
        <v>78</v>
      </c>
      <c r="J197" t="s">
        <v>15</v>
      </c>
    </row>
    <row r="198" spans="1:10" x14ac:dyDescent="0.25">
      <c r="A198" t="s">
        <v>77</v>
      </c>
      <c r="B198" t="s">
        <v>24</v>
      </c>
      <c r="D198">
        <v>3</v>
      </c>
      <c r="E198">
        <v>5</v>
      </c>
      <c r="F198">
        <v>0</v>
      </c>
      <c r="G198" t="s">
        <v>81</v>
      </c>
      <c r="H198" t="s">
        <v>13</v>
      </c>
      <c r="I198" t="s">
        <v>78</v>
      </c>
      <c r="J198" t="s">
        <v>15</v>
      </c>
    </row>
    <row r="199" spans="1:10" x14ac:dyDescent="0.25">
      <c r="A199" t="s">
        <v>77</v>
      </c>
      <c r="B199" t="s">
        <v>26</v>
      </c>
      <c r="F199">
        <v>0</v>
      </c>
      <c r="H199" t="s">
        <v>13</v>
      </c>
      <c r="I199" t="s">
        <v>78</v>
      </c>
      <c r="J199" t="s">
        <v>15</v>
      </c>
    </row>
    <row r="200" spans="1:10" x14ac:dyDescent="0.25">
      <c r="A200" t="s">
        <v>77</v>
      </c>
      <c r="B200" t="s">
        <v>27</v>
      </c>
      <c r="D200">
        <v>4</v>
      </c>
      <c r="E200">
        <v>5</v>
      </c>
      <c r="F200">
        <v>0</v>
      </c>
      <c r="G200" t="s">
        <v>82</v>
      </c>
      <c r="H200" t="s">
        <v>13</v>
      </c>
      <c r="I200" t="s">
        <v>78</v>
      </c>
      <c r="J200" t="s">
        <v>15</v>
      </c>
    </row>
    <row r="201" spans="1:10" x14ac:dyDescent="0.25">
      <c r="A201" t="s">
        <v>77</v>
      </c>
      <c r="B201" t="s">
        <v>28</v>
      </c>
      <c r="C201">
        <v>4</v>
      </c>
      <c r="D201">
        <v>4</v>
      </c>
      <c r="E201">
        <v>5</v>
      </c>
      <c r="F201">
        <v>1</v>
      </c>
      <c r="G201" t="s">
        <v>50</v>
      </c>
      <c r="H201" t="s">
        <v>13</v>
      </c>
      <c r="I201" t="s">
        <v>78</v>
      </c>
      <c r="J201" t="s">
        <v>15</v>
      </c>
    </row>
    <row r="202" spans="1:10" x14ac:dyDescent="0.25">
      <c r="A202" t="s">
        <v>77</v>
      </c>
      <c r="B202" t="s">
        <v>30</v>
      </c>
      <c r="D202">
        <v>4</v>
      </c>
      <c r="E202">
        <v>5</v>
      </c>
      <c r="F202">
        <v>0</v>
      </c>
      <c r="G202" t="s">
        <v>83</v>
      </c>
      <c r="H202" t="s">
        <v>13</v>
      </c>
      <c r="I202" t="s">
        <v>78</v>
      </c>
      <c r="J202" t="s">
        <v>15</v>
      </c>
    </row>
    <row r="203" spans="1:10" x14ac:dyDescent="0.25">
      <c r="A203" t="s">
        <v>77</v>
      </c>
      <c r="B203" t="s">
        <v>31</v>
      </c>
      <c r="C203">
        <v>5</v>
      </c>
      <c r="D203">
        <v>3</v>
      </c>
      <c r="E203">
        <v>5</v>
      </c>
      <c r="F203">
        <v>1</v>
      </c>
      <c r="G203" t="s">
        <v>12</v>
      </c>
      <c r="H203" t="s">
        <v>13</v>
      </c>
      <c r="I203" t="s">
        <v>78</v>
      </c>
      <c r="J203" t="s">
        <v>15</v>
      </c>
    </row>
    <row r="204" spans="1:10" x14ac:dyDescent="0.25">
      <c r="A204" t="s">
        <v>77</v>
      </c>
      <c r="B204" t="s">
        <v>32</v>
      </c>
      <c r="F204">
        <v>0</v>
      </c>
      <c r="H204" t="s">
        <v>13</v>
      </c>
      <c r="I204" t="s">
        <v>78</v>
      </c>
      <c r="J204" t="s">
        <v>15</v>
      </c>
    </row>
    <row r="205" spans="1:10" x14ac:dyDescent="0.25">
      <c r="A205" t="s">
        <v>77</v>
      </c>
      <c r="B205" t="s">
        <v>33</v>
      </c>
      <c r="F205">
        <v>0</v>
      </c>
      <c r="H205" t="s">
        <v>13</v>
      </c>
      <c r="I205" t="s">
        <v>78</v>
      </c>
      <c r="J205" t="s">
        <v>15</v>
      </c>
    </row>
    <row r="206" spans="1:10" x14ac:dyDescent="0.25">
      <c r="A206" t="s">
        <v>77</v>
      </c>
      <c r="B206" t="s">
        <v>34</v>
      </c>
      <c r="F206">
        <v>0</v>
      </c>
      <c r="H206" t="s">
        <v>13</v>
      </c>
      <c r="I206" t="s">
        <v>78</v>
      </c>
      <c r="J206" t="s">
        <v>15</v>
      </c>
    </row>
    <row r="207" spans="1:10" x14ac:dyDescent="0.25">
      <c r="A207" t="s">
        <v>77</v>
      </c>
      <c r="B207" t="s">
        <v>35</v>
      </c>
      <c r="C207">
        <v>5</v>
      </c>
      <c r="D207">
        <v>3</v>
      </c>
      <c r="E207">
        <v>5</v>
      </c>
      <c r="F207">
        <v>7</v>
      </c>
      <c r="G207" t="s">
        <v>74</v>
      </c>
      <c r="H207" t="s">
        <v>13</v>
      </c>
      <c r="I207" t="s">
        <v>78</v>
      </c>
      <c r="J207" t="s">
        <v>15</v>
      </c>
    </row>
    <row r="208" spans="1:10" x14ac:dyDescent="0.25">
      <c r="A208" t="s">
        <v>77</v>
      </c>
      <c r="B208" t="s">
        <v>36</v>
      </c>
      <c r="F208">
        <v>0</v>
      </c>
      <c r="H208" t="s">
        <v>13</v>
      </c>
      <c r="I208" t="s">
        <v>78</v>
      </c>
      <c r="J208" t="s">
        <v>15</v>
      </c>
    </row>
    <row r="209" spans="1:10" x14ac:dyDescent="0.25">
      <c r="A209" t="s">
        <v>77</v>
      </c>
      <c r="B209" t="s">
        <v>37</v>
      </c>
      <c r="C209">
        <v>5</v>
      </c>
      <c r="D209">
        <v>4</v>
      </c>
      <c r="E209">
        <v>5</v>
      </c>
      <c r="F209">
        <v>5</v>
      </c>
      <c r="G209" t="s">
        <v>84</v>
      </c>
      <c r="H209" t="s">
        <v>13</v>
      </c>
      <c r="I209" t="s">
        <v>78</v>
      </c>
      <c r="J209" t="s">
        <v>15</v>
      </c>
    </row>
    <row r="210" spans="1:10" x14ac:dyDescent="0.25">
      <c r="A210" t="s">
        <v>77</v>
      </c>
      <c r="B210" t="s">
        <v>16</v>
      </c>
      <c r="F210">
        <v>0</v>
      </c>
      <c r="H210" t="s">
        <v>13</v>
      </c>
      <c r="I210" t="s">
        <v>78</v>
      </c>
      <c r="J210" t="s">
        <v>15</v>
      </c>
    </row>
    <row r="211" spans="1:10" x14ac:dyDescent="0.25">
      <c r="A211" t="s">
        <v>77</v>
      </c>
      <c r="B211" t="s">
        <v>38</v>
      </c>
      <c r="C211">
        <v>4</v>
      </c>
      <c r="D211">
        <v>5</v>
      </c>
      <c r="E211">
        <v>5</v>
      </c>
      <c r="F211">
        <v>3</v>
      </c>
      <c r="G211" t="s">
        <v>67</v>
      </c>
      <c r="H211" t="s">
        <v>13</v>
      </c>
      <c r="I211" t="s">
        <v>78</v>
      </c>
      <c r="J211" t="s">
        <v>15</v>
      </c>
    </row>
    <row r="212" spans="1:10" x14ac:dyDescent="0.25">
      <c r="A212" t="s">
        <v>77</v>
      </c>
      <c r="B212" t="s">
        <v>16</v>
      </c>
      <c r="F212">
        <v>0</v>
      </c>
      <c r="H212" t="s">
        <v>13</v>
      </c>
      <c r="I212" t="s">
        <v>78</v>
      </c>
      <c r="J212" t="s">
        <v>15</v>
      </c>
    </row>
    <row r="213" spans="1:10" x14ac:dyDescent="0.25">
      <c r="A213" t="s">
        <v>77</v>
      </c>
      <c r="B213" t="s">
        <v>40</v>
      </c>
      <c r="C213">
        <v>4</v>
      </c>
      <c r="D213">
        <v>5</v>
      </c>
      <c r="E213">
        <v>5</v>
      </c>
      <c r="F213">
        <v>2</v>
      </c>
      <c r="G213" t="s">
        <v>18</v>
      </c>
      <c r="H213" t="s">
        <v>13</v>
      </c>
      <c r="I213" t="s">
        <v>78</v>
      </c>
      <c r="J213" t="s">
        <v>15</v>
      </c>
    </row>
    <row r="214" spans="1:10" x14ac:dyDescent="0.25">
      <c r="A214" t="s">
        <v>77</v>
      </c>
      <c r="B214" t="s">
        <v>41</v>
      </c>
      <c r="C214">
        <v>5</v>
      </c>
      <c r="D214">
        <v>5</v>
      </c>
      <c r="E214">
        <v>5</v>
      </c>
      <c r="F214">
        <v>1</v>
      </c>
      <c r="G214" t="s">
        <v>12</v>
      </c>
      <c r="H214" t="s">
        <v>13</v>
      </c>
      <c r="I214" t="s">
        <v>78</v>
      </c>
      <c r="J214" t="s">
        <v>15</v>
      </c>
    </row>
    <row r="215" spans="1:10" x14ac:dyDescent="0.25">
      <c r="A215" t="s">
        <v>77</v>
      </c>
      <c r="B215" t="s">
        <v>42</v>
      </c>
      <c r="D215">
        <v>5</v>
      </c>
      <c r="E215">
        <v>5</v>
      </c>
      <c r="F215">
        <v>0</v>
      </c>
      <c r="G215" t="s">
        <v>85</v>
      </c>
      <c r="H215" t="s">
        <v>13</v>
      </c>
      <c r="I215" t="s">
        <v>78</v>
      </c>
      <c r="J215" t="s">
        <v>15</v>
      </c>
    </row>
    <row r="216" spans="1:10" x14ac:dyDescent="0.25">
      <c r="A216" t="s">
        <v>77</v>
      </c>
      <c r="B216" t="s">
        <v>16</v>
      </c>
      <c r="F216">
        <v>0</v>
      </c>
      <c r="H216" t="s">
        <v>13</v>
      </c>
      <c r="I216" t="s">
        <v>78</v>
      </c>
      <c r="J216" t="s">
        <v>15</v>
      </c>
    </row>
    <row r="217" spans="1:10" x14ac:dyDescent="0.25">
      <c r="A217" t="s">
        <v>77</v>
      </c>
      <c r="B217" t="s">
        <v>43</v>
      </c>
      <c r="C217">
        <v>5</v>
      </c>
      <c r="D217">
        <v>5</v>
      </c>
      <c r="E217">
        <v>5</v>
      </c>
      <c r="F217">
        <v>4</v>
      </c>
      <c r="G217" t="s">
        <v>44</v>
      </c>
      <c r="H217" t="s">
        <v>13</v>
      </c>
      <c r="I217" t="s">
        <v>78</v>
      </c>
      <c r="J217" t="s">
        <v>15</v>
      </c>
    </row>
    <row r="218" spans="1:10" x14ac:dyDescent="0.25">
      <c r="A218" t="s">
        <v>86</v>
      </c>
      <c r="B218" t="s">
        <v>11</v>
      </c>
      <c r="C218">
        <v>5</v>
      </c>
      <c r="D218">
        <v>5</v>
      </c>
      <c r="E218">
        <v>5</v>
      </c>
      <c r="F218">
        <v>2</v>
      </c>
      <c r="G218" t="s">
        <v>12</v>
      </c>
      <c r="H218" t="s">
        <v>13</v>
      </c>
      <c r="I218" t="s">
        <v>87</v>
      </c>
      <c r="J218" t="s">
        <v>15</v>
      </c>
    </row>
    <row r="219" spans="1:10" x14ac:dyDescent="0.25">
      <c r="A219" t="s">
        <v>86</v>
      </c>
      <c r="B219" t="s">
        <v>16</v>
      </c>
      <c r="F219">
        <v>0</v>
      </c>
      <c r="H219" t="s">
        <v>13</v>
      </c>
      <c r="I219" t="s">
        <v>87</v>
      </c>
      <c r="J219" t="s">
        <v>15</v>
      </c>
    </row>
    <row r="220" spans="1:10" x14ac:dyDescent="0.25">
      <c r="A220" t="s">
        <v>86</v>
      </c>
      <c r="B220" t="s">
        <v>17</v>
      </c>
      <c r="C220">
        <v>5</v>
      </c>
      <c r="D220">
        <v>4</v>
      </c>
      <c r="E220">
        <v>5</v>
      </c>
      <c r="F220">
        <v>4</v>
      </c>
      <c r="G220" t="s">
        <v>53</v>
      </c>
      <c r="H220" t="s">
        <v>13</v>
      </c>
      <c r="I220" t="s">
        <v>87</v>
      </c>
      <c r="J220" t="s">
        <v>15</v>
      </c>
    </row>
    <row r="221" spans="1:10" x14ac:dyDescent="0.25">
      <c r="A221" t="s">
        <v>86</v>
      </c>
      <c r="B221" t="s">
        <v>19</v>
      </c>
      <c r="C221">
        <v>5</v>
      </c>
      <c r="D221">
        <v>4</v>
      </c>
      <c r="E221">
        <v>5</v>
      </c>
      <c r="F221">
        <v>3</v>
      </c>
      <c r="G221" t="s">
        <v>22</v>
      </c>
      <c r="H221" t="s">
        <v>13</v>
      </c>
      <c r="I221" t="s">
        <v>87</v>
      </c>
      <c r="J221" t="s">
        <v>15</v>
      </c>
    </row>
    <row r="222" spans="1:10" x14ac:dyDescent="0.25">
      <c r="A222" t="s">
        <v>86</v>
      </c>
      <c r="B222" t="s">
        <v>21</v>
      </c>
      <c r="C222">
        <v>4</v>
      </c>
      <c r="D222">
        <v>4</v>
      </c>
      <c r="E222">
        <v>5</v>
      </c>
      <c r="F222">
        <v>1</v>
      </c>
      <c r="G222" t="s">
        <v>47</v>
      </c>
      <c r="H222" t="s">
        <v>13</v>
      </c>
      <c r="I222" t="s">
        <v>87</v>
      </c>
      <c r="J222" t="s">
        <v>15</v>
      </c>
    </row>
    <row r="223" spans="1:10" x14ac:dyDescent="0.25">
      <c r="A223" t="s">
        <v>86</v>
      </c>
      <c r="B223" t="s">
        <v>16</v>
      </c>
      <c r="F223">
        <v>0</v>
      </c>
      <c r="H223" t="s">
        <v>13</v>
      </c>
      <c r="I223" t="s">
        <v>87</v>
      </c>
      <c r="J223" t="s">
        <v>15</v>
      </c>
    </row>
    <row r="224" spans="1:10" x14ac:dyDescent="0.25">
      <c r="A224" t="s">
        <v>86</v>
      </c>
      <c r="B224" t="s">
        <v>23</v>
      </c>
      <c r="C224">
        <v>4</v>
      </c>
      <c r="D224">
        <v>5</v>
      </c>
      <c r="E224">
        <v>5</v>
      </c>
      <c r="F224">
        <v>3</v>
      </c>
      <c r="G224" t="s">
        <v>22</v>
      </c>
      <c r="H224" t="s">
        <v>13</v>
      </c>
      <c r="I224" t="s">
        <v>87</v>
      </c>
      <c r="J224" t="s">
        <v>15</v>
      </c>
    </row>
    <row r="225" spans="1:10" x14ac:dyDescent="0.25">
      <c r="A225" t="s">
        <v>86</v>
      </c>
      <c r="B225" t="s">
        <v>24</v>
      </c>
      <c r="C225">
        <v>4</v>
      </c>
      <c r="D225">
        <v>4</v>
      </c>
      <c r="E225">
        <v>5</v>
      </c>
      <c r="F225">
        <v>1</v>
      </c>
      <c r="G225" t="s">
        <v>47</v>
      </c>
      <c r="H225" t="s">
        <v>13</v>
      </c>
      <c r="I225" t="s">
        <v>87</v>
      </c>
      <c r="J225" t="s">
        <v>15</v>
      </c>
    </row>
    <row r="226" spans="1:10" x14ac:dyDescent="0.25">
      <c r="A226" t="s">
        <v>86</v>
      </c>
      <c r="B226" t="s">
        <v>26</v>
      </c>
      <c r="F226">
        <v>0</v>
      </c>
      <c r="H226" t="s">
        <v>13</v>
      </c>
      <c r="I226" t="s">
        <v>87</v>
      </c>
      <c r="J226" t="s">
        <v>15</v>
      </c>
    </row>
    <row r="227" spans="1:10" x14ac:dyDescent="0.25">
      <c r="A227" t="s">
        <v>86</v>
      </c>
      <c r="B227" t="s">
        <v>27</v>
      </c>
      <c r="C227">
        <v>4</v>
      </c>
      <c r="D227">
        <v>4</v>
      </c>
      <c r="E227">
        <v>5</v>
      </c>
      <c r="F227">
        <v>1</v>
      </c>
      <c r="G227" t="s">
        <v>47</v>
      </c>
      <c r="H227" t="s">
        <v>13</v>
      </c>
      <c r="I227" t="s">
        <v>87</v>
      </c>
      <c r="J227" t="s">
        <v>15</v>
      </c>
    </row>
    <row r="228" spans="1:10" x14ac:dyDescent="0.25">
      <c r="A228" t="s">
        <v>86</v>
      </c>
      <c r="B228" t="s">
        <v>28</v>
      </c>
      <c r="C228">
        <v>4</v>
      </c>
      <c r="D228">
        <v>3</v>
      </c>
      <c r="E228">
        <v>5</v>
      </c>
      <c r="F228">
        <v>1</v>
      </c>
      <c r="G228" t="s">
        <v>25</v>
      </c>
      <c r="H228" t="s">
        <v>13</v>
      </c>
      <c r="I228" t="s">
        <v>87</v>
      </c>
      <c r="J228" t="s">
        <v>15</v>
      </c>
    </row>
    <row r="229" spans="1:10" x14ac:dyDescent="0.25">
      <c r="A229" t="s">
        <v>86</v>
      </c>
      <c r="B229" t="s">
        <v>30</v>
      </c>
      <c r="C229">
        <v>4</v>
      </c>
      <c r="D229">
        <v>3</v>
      </c>
      <c r="E229">
        <v>5</v>
      </c>
      <c r="F229">
        <v>1</v>
      </c>
      <c r="G229" t="s">
        <v>25</v>
      </c>
      <c r="H229" t="s">
        <v>13</v>
      </c>
      <c r="I229" t="s">
        <v>87</v>
      </c>
      <c r="J229" t="s">
        <v>15</v>
      </c>
    </row>
    <row r="230" spans="1:10" x14ac:dyDescent="0.25">
      <c r="A230" t="s">
        <v>86</v>
      </c>
      <c r="B230" t="s">
        <v>31</v>
      </c>
      <c r="C230">
        <v>4</v>
      </c>
      <c r="D230">
        <v>5</v>
      </c>
      <c r="E230">
        <v>5</v>
      </c>
      <c r="F230">
        <v>1</v>
      </c>
      <c r="G230" t="s">
        <v>47</v>
      </c>
      <c r="H230" t="s">
        <v>13</v>
      </c>
      <c r="I230" t="s">
        <v>87</v>
      </c>
      <c r="J230" t="s">
        <v>15</v>
      </c>
    </row>
    <row r="231" spans="1:10" x14ac:dyDescent="0.25">
      <c r="A231" t="s">
        <v>86</v>
      </c>
      <c r="B231" t="s">
        <v>32</v>
      </c>
      <c r="F231">
        <v>0</v>
      </c>
      <c r="H231" t="s">
        <v>13</v>
      </c>
      <c r="I231" t="s">
        <v>87</v>
      </c>
      <c r="J231" t="s">
        <v>15</v>
      </c>
    </row>
    <row r="232" spans="1:10" x14ac:dyDescent="0.25">
      <c r="A232" t="s">
        <v>86</v>
      </c>
      <c r="B232" t="s">
        <v>33</v>
      </c>
      <c r="F232">
        <v>0</v>
      </c>
      <c r="H232" t="s">
        <v>13</v>
      </c>
      <c r="I232" t="s">
        <v>87</v>
      </c>
      <c r="J232" t="s">
        <v>15</v>
      </c>
    </row>
    <row r="233" spans="1:10" x14ac:dyDescent="0.25">
      <c r="A233" t="s">
        <v>86</v>
      </c>
      <c r="B233" t="s">
        <v>34</v>
      </c>
      <c r="F233">
        <v>0</v>
      </c>
      <c r="H233" t="s">
        <v>13</v>
      </c>
      <c r="I233" t="s">
        <v>87</v>
      </c>
      <c r="J233" t="s">
        <v>15</v>
      </c>
    </row>
    <row r="234" spans="1:10" x14ac:dyDescent="0.25">
      <c r="A234" t="s">
        <v>86</v>
      </c>
      <c r="B234" t="s">
        <v>35</v>
      </c>
      <c r="C234">
        <v>5</v>
      </c>
      <c r="D234">
        <v>3</v>
      </c>
      <c r="E234">
        <v>5</v>
      </c>
      <c r="F234">
        <v>6</v>
      </c>
      <c r="G234" t="s">
        <v>22</v>
      </c>
      <c r="H234" t="s">
        <v>13</v>
      </c>
      <c r="I234" t="s">
        <v>87</v>
      </c>
      <c r="J234" t="s">
        <v>15</v>
      </c>
    </row>
    <row r="235" spans="1:10" x14ac:dyDescent="0.25">
      <c r="A235" t="s">
        <v>86</v>
      </c>
      <c r="B235" t="s">
        <v>36</v>
      </c>
      <c r="C235">
        <v>4</v>
      </c>
      <c r="D235">
        <v>3</v>
      </c>
      <c r="E235">
        <v>5</v>
      </c>
      <c r="F235">
        <v>1</v>
      </c>
      <c r="G235" t="s">
        <v>47</v>
      </c>
      <c r="H235" t="s">
        <v>13</v>
      </c>
      <c r="I235" t="s">
        <v>87</v>
      </c>
      <c r="J235" t="s">
        <v>15</v>
      </c>
    </row>
    <row r="236" spans="1:10" x14ac:dyDescent="0.25">
      <c r="A236" t="s">
        <v>86</v>
      </c>
      <c r="B236" t="s">
        <v>37</v>
      </c>
      <c r="C236">
        <v>5</v>
      </c>
      <c r="D236">
        <v>4</v>
      </c>
      <c r="E236">
        <v>5</v>
      </c>
      <c r="F236">
        <v>5</v>
      </c>
      <c r="G236" t="s">
        <v>48</v>
      </c>
      <c r="H236" t="s">
        <v>13</v>
      </c>
      <c r="I236" t="s">
        <v>87</v>
      </c>
      <c r="J236" t="s">
        <v>15</v>
      </c>
    </row>
    <row r="237" spans="1:10" x14ac:dyDescent="0.25">
      <c r="A237" t="s">
        <v>86</v>
      </c>
      <c r="B237" t="s">
        <v>16</v>
      </c>
      <c r="F237">
        <v>0</v>
      </c>
      <c r="H237" t="s">
        <v>13</v>
      </c>
      <c r="I237" t="s">
        <v>87</v>
      </c>
      <c r="J237" t="s">
        <v>15</v>
      </c>
    </row>
    <row r="238" spans="1:10" x14ac:dyDescent="0.25">
      <c r="A238" t="s">
        <v>86</v>
      </c>
      <c r="B238" t="s">
        <v>38</v>
      </c>
      <c r="C238">
        <v>4</v>
      </c>
      <c r="D238">
        <v>5</v>
      </c>
      <c r="E238">
        <v>5</v>
      </c>
      <c r="F238">
        <v>1</v>
      </c>
      <c r="G238" t="s">
        <v>47</v>
      </c>
      <c r="H238" t="s">
        <v>13</v>
      </c>
      <c r="I238" t="s">
        <v>87</v>
      </c>
      <c r="J238" t="s">
        <v>15</v>
      </c>
    </row>
    <row r="239" spans="1:10" x14ac:dyDescent="0.25">
      <c r="A239" t="s">
        <v>86</v>
      </c>
      <c r="B239" t="s">
        <v>16</v>
      </c>
      <c r="F239">
        <v>0</v>
      </c>
      <c r="H239" t="s">
        <v>13</v>
      </c>
      <c r="I239" t="s">
        <v>87</v>
      </c>
      <c r="J239" t="s">
        <v>15</v>
      </c>
    </row>
    <row r="240" spans="1:10" x14ac:dyDescent="0.25">
      <c r="A240" t="s">
        <v>86</v>
      </c>
      <c r="B240" t="s">
        <v>40</v>
      </c>
      <c r="C240">
        <v>5</v>
      </c>
      <c r="D240">
        <v>4</v>
      </c>
      <c r="E240">
        <v>5</v>
      </c>
      <c r="F240">
        <v>3</v>
      </c>
      <c r="G240" t="s">
        <v>12</v>
      </c>
      <c r="H240" t="s">
        <v>13</v>
      </c>
      <c r="I240" t="s">
        <v>87</v>
      </c>
      <c r="J240" t="s">
        <v>15</v>
      </c>
    </row>
    <row r="241" spans="1:10" x14ac:dyDescent="0.25">
      <c r="A241" t="s">
        <v>86</v>
      </c>
      <c r="B241" t="s">
        <v>41</v>
      </c>
      <c r="C241">
        <v>5</v>
      </c>
      <c r="D241">
        <v>5</v>
      </c>
      <c r="E241">
        <v>5</v>
      </c>
      <c r="F241">
        <v>2</v>
      </c>
      <c r="G241" t="s">
        <v>12</v>
      </c>
      <c r="H241" t="s">
        <v>13</v>
      </c>
      <c r="I241" t="s">
        <v>87</v>
      </c>
      <c r="J241" t="s">
        <v>15</v>
      </c>
    </row>
    <row r="242" spans="1:10" x14ac:dyDescent="0.25">
      <c r="A242" t="s">
        <v>86</v>
      </c>
      <c r="B242" t="s">
        <v>42</v>
      </c>
      <c r="C242">
        <v>4</v>
      </c>
      <c r="D242">
        <v>5</v>
      </c>
      <c r="E242">
        <v>5</v>
      </c>
      <c r="F242">
        <v>1</v>
      </c>
      <c r="G242" t="s">
        <v>47</v>
      </c>
      <c r="H242" t="s">
        <v>13</v>
      </c>
      <c r="I242" t="s">
        <v>87</v>
      </c>
      <c r="J242" t="s">
        <v>15</v>
      </c>
    </row>
    <row r="243" spans="1:10" x14ac:dyDescent="0.25">
      <c r="A243" t="s">
        <v>86</v>
      </c>
      <c r="B243" t="s">
        <v>16</v>
      </c>
      <c r="F243">
        <v>0</v>
      </c>
      <c r="H243" t="s">
        <v>13</v>
      </c>
      <c r="I243" t="s">
        <v>87</v>
      </c>
      <c r="J243" t="s">
        <v>15</v>
      </c>
    </row>
    <row r="244" spans="1:10" x14ac:dyDescent="0.25">
      <c r="A244" t="s">
        <v>86</v>
      </c>
      <c r="B244" t="s">
        <v>43</v>
      </c>
      <c r="C244">
        <v>4</v>
      </c>
      <c r="D244">
        <v>5</v>
      </c>
      <c r="E244">
        <v>5</v>
      </c>
      <c r="F244">
        <v>1</v>
      </c>
      <c r="G244" t="s">
        <v>47</v>
      </c>
      <c r="H244" t="s">
        <v>13</v>
      </c>
      <c r="I244" t="s">
        <v>87</v>
      </c>
      <c r="J244" t="s">
        <v>15</v>
      </c>
    </row>
    <row r="245" spans="1:10" x14ac:dyDescent="0.25">
      <c r="A245" t="s">
        <v>88</v>
      </c>
      <c r="B245" t="s">
        <v>11</v>
      </c>
      <c r="C245">
        <v>4</v>
      </c>
      <c r="D245">
        <v>9</v>
      </c>
      <c r="E245">
        <v>9</v>
      </c>
      <c r="F245">
        <v>1</v>
      </c>
      <c r="G245" t="s">
        <v>47</v>
      </c>
      <c r="H245" t="s">
        <v>13</v>
      </c>
      <c r="I245" t="s">
        <v>89</v>
      </c>
      <c r="J245" t="s">
        <v>58</v>
      </c>
    </row>
    <row r="246" spans="1:10" x14ac:dyDescent="0.25">
      <c r="A246" t="s">
        <v>88</v>
      </c>
      <c r="B246" t="s">
        <v>16</v>
      </c>
      <c r="F246">
        <v>0</v>
      </c>
      <c r="H246" t="s">
        <v>13</v>
      </c>
      <c r="I246" t="s">
        <v>89</v>
      </c>
      <c r="J246" t="s">
        <v>58</v>
      </c>
    </row>
    <row r="247" spans="1:10" x14ac:dyDescent="0.25">
      <c r="A247" t="s">
        <v>88</v>
      </c>
      <c r="B247" t="s">
        <v>17</v>
      </c>
      <c r="D247">
        <v>7</v>
      </c>
      <c r="E247">
        <v>9</v>
      </c>
      <c r="F247">
        <v>0</v>
      </c>
      <c r="G247" t="s">
        <v>90</v>
      </c>
      <c r="H247" t="s">
        <v>13</v>
      </c>
      <c r="I247" t="s">
        <v>89</v>
      </c>
      <c r="J247" t="s">
        <v>58</v>
      </c>
    </row>
    <row r="248" spans="1:10" x14ac:dyDescent="0.25">
      <c r="A248" t="s">
        <v>88</v>
      </c>
      <c r="B248" t="s">
        <v>19</v>
      </c>
      <c r="C248">
        <v>4</v>
      </c>
      <c r="D248">
        <v>7</v>
      </c>
      <c r="E248">
        <v>9</v>
      </c>
      <c r="F248">
        <v>2</v>
      </c>
      <c r="G248" t="s">
        <v>18</v>
      </c>
      <c r="H248" t="s">
        <v>13</v>
      </c>
      <c r="I248" t="s">
        <v>89</v>
      </c>
      <c r="J248" t="s">
        <v>58</v>
      </c>
    </row>
    <row r="249" spans="1:10" x14ac:dyDescent="0.25">
      <c r="A249" t="s">
        <v>88</v>
      </c>
      <c r="B249" t="s">
        <v>21</v>
      </c>
      <c r="C249">
        <v>4</v>
      </c>
      <c r="D249">
        <v>4</v>
      </c>
      <c r="E249">
        <v>9</v>
      </c>
      <c r="F249">
        <v>1</v>
      </c>
      <c r="G249" t="s">
        <v>25</v>
      </c>
      <c r="H249" t="s">
        <v>13</v>
      </c>
      <c r="I249" t="s">
        <v>89</v>
      </c>
      <c r="J249" t="s">
        <v>58</v>
      </c>
    </row>
    <row r="250" spans="1:10" x14ac:dyDescent="0.25">
      <c r="A250" t="s">
        <v>88</v>
      </c>
      <c r="B250" t="s">
        <v>16</v>
      </c>
      <c r="F250">
        <v>0</v>
      </c>
      <c r="H250" t="s">
        <v>13</v>
      </c>
      <c r="I250" t="s">
        <v>89</v>
      </c>
      <c r="J250" t="s">
        <v>58</v>
      </c>
    </row>
    <row r="251" spans="1:10" x14ac:dyDescent="0.25">
      <c r="A251" t="s">
        <v>88</v>
      </c>
      <c r="B251" t="s">
        <v>23</v>
      </c>
      <c r="C251">
        <v>5</v>
      </c>
      <c r="D251">
        <v>9</v>
      </c>
      <c r="E251">
        <v>9</v>
      </c>
      <c r="F251">
        <v>3</v>
      </c>
      <c r="G251" t="s">
        <v>50</v>
      </c>
      <c r="H251" t="s">
        <v>13</v>
      </c>
      <c r="I251" t="s">
        <v>89</v>
      </c>
      <c r="J251" t="s">
        <v>58</v>
      </c>
    </row>
    <row r="252" spans="1:10" x14ac:dyDescent="0.25">
      <c r="A252" t="s">
        <v>88</v>
      </c>
      <c r="B252" t="s">
        <v>24</v>
      </c>
      <c r="C252">
        <v>4</v>
      </c>
      <c r="D252">
        <v>6</v>
      </c>
      <c r="E252">
        <v>9</v>
      </c>
      <c r="F252">
        <v>1</v>
      </c>
      <c r="G252" t="s">
        <v>25</v>
      </c>
      <c r="H252" t="s">
        <v>13</v>
      </c>
      <c r="I252" t="s">
        <v>89</v>
      </c>
      <c r="J252" t="s">
        <v>58</v>
      </c>
    </row>
    <row r="253" spans="1:10" x14ac:dyDescent="0.25">
      <c r="A253" t="s">
        <v>88</v>
      </c>
      <c r="B253" t="s">
        <v>26</v>
      </c>
      <c r="F253">
        <v>0</v>
      </c>
      <c r="H253" t="s">
        <v>13</v>
      </c>
      <c r="I253" t="s">
        <v>89</v>
      </c>
      <c r="J253" t="s">
        <v>58</v>
      </c>
    </row>
    <row r="254" spans="1:10" x14ac:dyDescent="0.25">
      <c r="A254" t="s">
        <v>88</v>
      </c>
      <c r="B254" t="s">
        <v>27</v>
      </c>
      <c r="F254">
        <v>1</v>
      </c>
      <c r="G254" t="s">
        <v>25</v>
      </c>
      <c r="H254" t="s">
        <v>13</v>
      </c>
      <c r="I254" t="s">
        <v>89</v>
      </c>
      <c r="J254" t="s">
        <v>58</v>
      </c>
    </row>
    <row r="255" spans="1:10" x14ac:dyDescent="0.25">
      <c r="A255" t="s">
        <v>88</v>
      </c>
      <c r="B255" t="s">
        <v>28</v>
      </c>
      <c r="C255">
        <v>4</v>
      </c>
      <c r="D255">
        <v>4</v>
      </c>
      <c r="E255">
        <v>9</v>
      </c>
      <c r="F255">
        <v>1</v>
      </c>
      <c r="G255" t="s">
        <v>47</v>
      </c>
      <c r="H255" t="s">
        <v>13</v>
      </c>
      <c r="I255" t="s">
        <v>89</v>
      </c>
      <c r="J255" t="s">
        <v>58</v>
      </c>
    </row>
    <row r="256" spans="1:10" x14ac:dyDescent="0.25">
      <c r="A256" t="s">
        <v>88</v>
      </c>
      <c r="B256" t="s">
        <v>30</v>
      </c>
      <c r="C256">
        <v>4</v>
      </c>
      <c r="D256">
        <v>4</v>
      </c>
      <c r="E256">
        <v>9</v>
      </c>
      <c r="F256">
        <v>1</v>
      </c>
      <c r="G256" t="s">
        <v>47</v>
      </c>
      <c r="H256" t="s">
        <v>13</v>
      </c>
      <c r="I256" t="s">
        <v>89</v>
      </c>
      <c r="J256" t="s">
        <v>58</v>
      </c>
    </row>
    <row r="257" spans="1:10" x14ac:dyDescent="0.25">
      <c r="A257" t="s">
        <v>88</v>
      </c>
      <c r="B257" t="s">
        <v>31</v>
      </c>
      <c r="C257">
        <v>4</v>
      </c>
      <c r="D257">
        <v>7</v>
      </c>
      <c r="E257">
        <v>9</v>
      </c>
      <c r="F257">
        <v>1</v>
      </c>
      <c r="G257" t="s">
        <v>25</v>
      </c>
      <c r="H257" t="s">
        <v>13</v>
      </c>
      <c r="I257" t="s">
        <v>89</v>
      </c>
      <c r="J257" t="s">
        <v>58</v>
      </c>
    </row>
    <row r="258" spans="1:10" x14ac:dyDescent="0.25">
      <c r="A258" t="s">
        <v>88</v>
      </c>
      <c r="B258" t="s">
        <v>32</v>
      </c>
      <c r="F258">
        <v>0</v>
      </c>
      <c r="H258" t="s">
        <v>13</v>
      </c>
      <c r="I258" t="s">
        <v>89</v>
      </c>
      <c r="J258" t="s">
        <v>58</v>
      </c>
    </row>
    <row r="259" spans="1:10" x14ac:dyDescent="0.25">
      <c r="A259" t="s">
        <v>88</v>
      </c>
      <c r="B259" t="s">
        <v>33</v>
      </c>
      <c r="F259">
        <v>0</v>
      </c>
      <c r="H259" t="s">
        <v>13</v>
      </c>
      <c r="I259" t="s">
        <v>89</v>
      </c>
      <c r="J259" t="s">
        <v>58</v>
      </c>
    </row>
    <row r="260" spans="1:10" x14ac:dyDescent="0.25">
      <c r="A260" t="s">
        <v>88</v>
      </c>
      <c r="B260" t="s">
        <v>34</v>
      </c>
      <c r="F260">
        <v>0</v>
      </c>
      <c r="H260" t="s">
        <v>13</v>
      </c>
      <c r="I260" t="s">
        <v>89</v>
      </c>
      <c r="J260" t="s">
        <v>58</v>
      </c>
    </row>
    <row r="261" spans="1:10" x14ac:dyDescent="0.25">
      <c r="A261" t="s">
        <v>88</v>
      </c>
      <c r="B261" t="s">
        <v>35</v>
      </c>
      <c r="D261">
        <v>3</v>
      </c>
      <c r="E261">
        <v>9</v>
      </c>
      <c r="F261">
        <v>0</v>
      </c>
      <c r="G261" t="s">
        <v>91</v>
      </c>
      <c r="H261" t="s">
        <v>13</v>
      </c>
      <c r="I261" t="s">
        <v>89</v>
      </c>
      <c r="J261" t="s">
        <v>58</v>
      </c>
    </row>
    <row r="262" spans="1:10" x14ac:dyDescent="0.25">
      <c r="A262" t="s">
        <v>88</v>
      </c>
      <c r="B262" t="s">
        <v>36</v>
      </c>
      <c r="C262">
        <v>4</v>
      </c>
      <c r="D262">
        <v>0</v>
      </c>
      <c r="E262">
        <v>9</v>
      </c>
      <c r="F262">
        <v>1</v>
      </c>
      <c r="G262" t="s">
        <v>20</v>
      </c>
      <c r="H262" t="s">
        <v>13</v>
      </c>
      <c r="I262" t="s">
        <v>89</v>
      </c>
      <c r="J262" t="s">
        <v>58</v>
      </c>
    </row>
    <row r="263" spans="1:10" x14ac:dyDescent="0.25">
      <c r="A263" t="s">
        <v>88</v>
      </c>
      <c r="B263" t="s">
        <v>37</v>
      </c>
      <c r="C263">
        <v>5</v>
      </c>
      <c r="D263">
        <v>7</v>
      </c>
      <c r="E263">
        <v>9</v>
      </c>
      <c r="F263">
        <v>6</v>
      </c>
      <c r="G263" t="s">
        <v>29</v>
      </c>
      <c r="H263" t="s">
        <v>13</v>
      </c>
      <c r="I263" t="s">
        <v>89</v>
      </c>
      <c r="J263" t="s">
        <v>58</v>
      </c>
    </row>
    <row r="264" spans="1:10" x14ac:dyDescent="0.25">
      <c r="A264" t="s">
        <v>88</v>
      </c>
      <c r="B264" t="s">
        <v>16</v>
      </c>
      <c r="F264">
        <v>0</v>
      </c>
      <c r="H264" t="s">
        <v>13</v>
      </c>
      <c r="I264" t="s">
        <v>89</v>
      </c>
      <c r="J264" t="s">
        <v>58</v>
      </c>
    </row>
    <row r="265" spans="1:10" x14ac:dyDescent="0.25">
      <c r="A265" t="s">
        <v>88</v>
      </c>
      <c r="B265" t="s">
        <v>38</v>
      </c>
      <c r="C265">
        <v>5</v>
      </c>
      <c r="D265">
        <v>9</v>
      </c>
      <c r="E265">
        <v>9</v>
      </c>
      <c r="F265">
        <v>6</v>
      </c>
      <c r="G265" t="s">
        <v>50</v>
      </c>
      <c r="H265" t="s">
        <v>13</v>
      </c>
      <c r="I265" t="s">
        <v>89</v>
      </c>
      <c r="J265" t="s">
        <v>58</v>
      </c>
    </row>
    <row r="266" spans="1:10" x14ac:dyDescent="0.25">
      <c r="A266" t="s">
        <v>88</v>
      </c>
      <c r="B266" t="s">
        <v>16</v>
      </c>
      <c r="F266">
        <v>0</v>
      </c>
      <c r="H266" t="s">
        <v>13</v>
      </c>
      <c r="I266" t="s">
        <v>89</v>
      </c>
      <c r="J266" t="s">
        <v>58</v>
      </c>
    </row>
    <row r="267" spans="1:10" x14ac:dyDescent="0.25">
      <c r="A267" t="s">
        <v>88</v>
      </c>
      <c r="B267" t="s">
        <v>40</v>
      </c>
      <c r="C267">
        <v>3</v>
      </c>
      <c r="D267">
        <v>8</v>
      </c>
      <c r="E267">
        <v>9</v>
      </c>
      <c r="F267">
        <v>1</v>
      </c>
      <c r="G267" t="s">
        <v>18</v>
      </c>
      <c r="H267" t="s">
        <v>13</v>
      </c>
      <c r="I267" t="s">
        <v>89</v>
      </c>
      <c r="J267" t="s">
        <v>58</v>
      </c>
    </row>
    <row r="268" spans="1:10" x14ac:dyDescent="0.25">
      <c r="A268" t="s">
        <v>88</v>
      </c>
      <c r="B268" t="s">
        <v>41</v>
      </c>
      <c r="C268">
        <v>4</v>
      </c>
      <c r="D268">
        <v>5</v>
      </c>
      <c r="E268">
        <v>9</v>
      </c>
      <c r="F268">
        <v>1</v>
      </c>
      <c r="G268" t="s">
        <v>47</v>
      </c>
      <c r="H268" t="s">
        <v>13</v>
      </c>
      <c r="I268" t="s">
        <v>89</v>
      </c>
      <c r="J268" t="s">
        <v>58</v>
      </c>
    </row>
    <row r="269" spans="1:10" x14ac:dyDescent="0.25">
      <c r="A269" t="s">
        <v>88</v>
      </c>
      <c r="B269" t="s">
        <v>42</v>
      </c>
      <c r="C269">
        <v>4</v>
      </c>
      <c r="D269">
        <v>8</v>
      </c>
      <c r="E269">
        <v>9</v>
      </c>
      <c r="F269">
        <v>2</v>
      </c>
      <c r="G269" t="s">
        <v>18</v>
      </c>
      <c r="H269" t="s">
        <v>13</v>
      </c>
      <c r="I269" t="s">
        <v>89</v>
      </c>
      <c r="J269" t="s">
        <v>58</v>
      </c>
    </row>
    <row r="270" spans="1:10" x14ac:dyDescent="0.25">
      <c r="A270" t="s">
        <v>88</v>
      </c>
      <c r="B270" t="s">
        <v>16</v>
      </c>
      <c r="F270">
        <v>0</v>
      </c>
      <c r="H270" t="s">
        <v>13</v>
      </c>
      <c r="I270" t="s">
        <v>89</v>
      </c>
      <c r="J270" t="s">
        <v>58</v>
      </c>
    </row>
    <row r="271" spans="1:10" x14ac:dyDescent="0.25">
      <c r="A271" t="s">
        <v>88</v>
      </c>
      <c r="B271" t="s">
        <v>43</v>
      </c>
      <c r="C271">
        <v>5</v>
      </c>
      <c r="D271">
        <v>8</v>
      </c>
      <c r="E271">
        <v>9</v>
      </c>
      <c r="F271">
        <v>2</v>
      </c>
      <c r="G271" t="s">
        <v>12</v>
      </c>
      <c r="H271" t="s">
        <v>13</v>
      </c>
      <c r="I271" t="s">
        <v>89</v>
      </c>
      <c r="J271" t="s">
        <v>58</v>
      </c>
    </row>
    <row r="272" spans="1:10" x14ac:dyDescent="0.25">
      <c r="A272" t="s">
        <v>92</v>
      </c>
      <c r="B272" t="s">
        <v>11</v>
      </c>
      <c r="D272">
        <v>5</v>
      </c>
      <c r="E272">
        <v>5</v>
      </c>
      <c r="F272">
        <v>0</v>
      </c>
      <c r="G272" t="s">
        <v>93</v>
      </c>
      <c r="H272" t="s">
        <v>13</v>
      </c>
      <c r="I272" t="s">
        <v>94</v>
      </c>
      <c r="J272" t="s">
        <v>15</v>
      </c>
    </row>
    <row r="273" spans="1:10" x14ac:dyDescent="0.25">
      <c r="A273" t="s">
        <v>92</v>
      </c>
      <c r="B273" t="s">
        <v>16</v>
      </c>
      <c r="F273">
        <v>0</v>
      </c>
      <c r="H273" t="s">
        <v>13</v>
      </c>
      <c r="I273" t="s">
        <v>94</v>
      </c>
      <c r="J273" t="s">
        <v>15</v>
      </c>
    </row>
    <row r="274" spans="1:10" x14ac:dyDescent="0.25">
      <c r="A274" t="s">
        <v>92</v>
      </c>
      <c r="B274" t="s">
        <v>17</v>
      </c>
      <c r="C274">
        <v>4</v>
      </c>
      <c r="D274">
        <v>5</v>
      </c>
      <c r="E274">
        <v>5</v>
      </c>
      <c r="F274">
        <v>4</v>
      </c>
      <c r="G274" t="s">
        <v>50</v>
      </c>
      <c r="H274" t="s">
        <v>13</v>
      </c>
      <c r="I274" t="s">
        <v>94</v>
      </c>
      <c r="J274" t="s">
        <v>15</v>
      </c>
    </row>
    <row r="275" spans="1:10" x14ac:dyDescent="0.25">
      <c r="A275" t="s">
        <v>92</v>
      </c>
      <c r="B275" t="s">
        <v>19</v>
      </c>
      <c r="C275">
        <v>4</v>
      </c>
      <c r="D275">
        <v>4</v>
      </c>
      <c r="E275">
        <v>5</v>
      </c>
      <c r="F275">
        <v>1</v>
      </c>
      <c r="G275" t="s">
        <v>47</v>
      </c>
      <c r="H275" t="s">
        <v>13</v>
      </c>
      <c r="I275" t="s">
        <v>94</v>
      </c>
      <c r="J275" t="s">
        <v>15</v>
      </c>
    </row>
    <row r="276" spans="1:10" x14ac:dyDescent="0.25">
      <c r="A276" t="s">
        <v>92</v>
      </c>
      <c r="B276" t="s">
        <v>21</v>
      </c>
      <c r="C276">
        <v>5</v>
      </c>
      <c r="D276">
        <v>2</v>
      </c>
      <c r="E276">
        <v>5</v>
      </c>
      <c r="F276">
        <v>1</v>
      </c>
      <c r="G276" t="s">
        <v>12</v>
      </c>
      <c r="H276" t="s">
        <v>13</v>
      </c>
      <c r="I276" t="s">
        <v>94</v>
      </c>
      <c r="J276" t="s">
        <v>15</v>
      </c>
    </row>
    <row r="277" spans="1:10" x14ac:dyDescent="0.25">
      <c r="A277" t="s">
        <v>92</v>
      </c>
      <c r="B277" t="s">
        <v>16</v>
      </c>
      <c r="F277">
        <v>0</v>
      </c>
      <c r="H277" t="s">
        <v>13</v>
      </c>
      <c r="I277" t="s">
        <v>94</v>
      </c>
      <c r="J277" t="s">
        <v>15</v>
      </c>
    </row>
    <row r="278" spans="1:10" x14ac:dyDescent="0.25">
      <c r="A278" t="s">
        <v>92</v>
      </c>
      <c r="B278" t="s">
        <v>23</v>
      </c>
      <c r="C278">
        <v>3</v>
      </c>
      <c r="D278">
        <v>5</v>
      </c>
      <c r="E278">
        <v>5</v>
      </c>
      <c r="F278">
        <v>1</v>
      </c>
      <c r="G278" t="s">
        <v>18</v>
      </c>
      <c r="H278" t="s">
        <v>13</v>
      </c>
      <c r="I278" t="s">
        <v>94</v>
      </c>
      <c r="J278" t="s">
        <v>15</v>
      </c>
    </row>
    <row r="279" spans="1:10" x14ac:dyDescent="0.25">
      <c r="A279" t="s">
        <v>92</v>
      </c>
      <c r="B279" t="s">
        <v>24</v>
      </c>
      <c r="C279">
        <v>5</v>
      </c>
      <c r="D279">
        <v>4</v>
      </c>
      <c r="E279">
        <v>5</v>
      </c>
      <c r="F279">
        <v>1</v>
      </c>
      <c r="G279" t="s">
        <v>12</v>
      </c>
      <c r="H279" t="s">
        <v>13</v>
      </c>
      <c r="I279" t="s">
        <v>94</v>
      </c>
      <c r="J279" t="s">
        <v>15</v>
      </c>
    </row>
    <row r="280" spans="1:10" x14ac:dyDescent="0.25">
      <c r="A280" t="s">
        <v>92</v>
      </c>
      <c r="B280" t="s">
        <v>26</v>
      </c>
      <c r="F280">
        <v>0</v>
      </c>
      <c r="H280" t="s">
        <v>13</v>
      </c>
      <c r="I280" t="s">
        <v>94</v>
      </c>
      <c r="J280" t="s">
        <v>15</v>
      </c>
    </row>
    <row r="281" spans="1:10" x14ac:dyDescent="0.25">
      <c r="A281" t="s">
        <v>92</v>
      </c>
      <c r="B281" t="s">
        <v>27</v>
      </c>
      <c r="C281">
        <v>5</v>
      </c>
      <c r="D281">
        <v>3</v>
      </c>
      <c r="E281">
        <v>5</v>
      </c>
      <c r="F281">
        <v>1</v>
      </c>
      <c r="G281" t="s">
        <v>12</v>
      </c>
      <c r="H281" t="s">
        <v>13</v>
      </c>
      <c r="I281" t="s">
        <v>94</v>
      </c>
      <c r="J281" t="s">
        <v>15</v>
      </c>
    </row>
    <row r="282" spans="1:10" x14ac:dyDescent="0.25">
      <c r="A282" t="s">
        <v>92</v>
      </c>
      <c r="B282" t="s">
        <v>28</v>
      </c>
      <c r="F282">
        <v>1</v>
      </c>
      <c r="G282" t="s">
        <v>12</v>
      </c>
      <c r="H282" t="s">
        <v>13</v>
      </c>
      <c r="I282" t="s">
        <v>94</v>
      </c>
      <c r="J282" t="s">
        <v>15</v>
      </c>
    </row>
    <row r="283" spans="1:10" x14ac:dyDescent="0.25">
      <c r="A283" t="s">
        <v>92</v>
      </c>
      <c r="B283" t="s">
        <v>30</v>
      </c>
      <c r="C283">
        <v>5</v>
      </c>
      <c r="D283">
        <v>1</v>
      </c>
      <c r="E283">
        <v>5</v>
      </c>
      <c r="F283">
        <v>3</v>
      </c>
      <c r="G283" t="s">
        <v>18</v>
      </c>
      <c r="H283" t="s">
        <v>13</v>
      </c>
      <c r="I283" t="s">
        <v>94</v>
      </c>
      <c r="J283" t="s">
        <v>15</v>
      </c>
    </row>
    <row r="284" spans="1:10" x14ac:dyDescent="0.25">
      <c r="A284" t="s">
        <v>92</v>
      </c>
      <c r="B284" t="s">
        <v>31</v>
      </c>
      <c r="C284">
        <v>5</v>
      </c>
      <c r="D284">
        <v>4</v>
      </c>
      <c r="E284">
        <v>5</v>
      </c>
      <c r="F284">
        <v>1</v>
      </c>
      <c r="G284" t="s">
        <v>12</v>
      </c>
      <c r="H284" t="s">
        <v>13</v>
      </c>
      <c r="I284" t="s">
        <v>94</v>
      </c>
      <c r="J284" t="s">
        <v>15</v>
      </c>
    </row>
    <row r="285" spans="1:10" x14ac:dyDescent="0.25">
      <c r="A285" t="s">
        <v>92</v>
      </c>
      <c r="B285" t="s">
        <v>32</v>
      </c>
      <c r="F285">
        <v>0</v>
      </c>
      <c r="H285" t="s">
        <v>13</v>
      </c>
      <c r="I285" t="s">
        <v>94</v>
      </c>
      <c r="J285" t="s">
        <v>15</v>
      </c>
    </row>
    <row r="286" spans="1:10" x14ac:dyDescent="0.25">
      <c r="A286" t="s">
        <v>92</v>
      </c>
      <c r="B286" t="s">
        <v>33</v>
      </c>
      <c r="F286">
        <v>0</v>
      </c>
      <c r="H286" t="s">
        <v>13</v>
      </c>
      <c r="I286" t="s">
        <v>94</v>
      </c>
      <c r="J286" t="s">
        <v>15</v>
      </c>
    </row>
    <row r="287" spans="1:10" x14ac:dyDescent="0.25">
      <c r="A287" t="s">
        <v>92</v>
      </c>
      <c r="B287" t="s">
        <v>34</v>
      </c>
      <c r="F287">
        <v>0</v>
      </c>
      <c r="H287" t="s">
        <v>13</v>
      </c>
      <c r="I287" t="s">
        <v>94</v>
      </c>
      <c r="J287" t="s">
        <v>15</v>
      </c>
    </row>
    <row r="288" spans="1:10" x14ac:dyDescent="0.25">
      <c r="A288" t="s">
        <v>92</v>
      </c>
      <c r="B288" t="s">
        <v>35</v>
      </c>
      <c r="C288">
        <v>4</v>
      </c>
      <c r="D288">
        <v>2</v>
      </c>
      <c r="E288">
        <v>5</v>
      </c>
      <c r="F288">
        <v>1</v>
      </c>
      <c r="G288" t="s">
        <v>50</v>
      </c>
      <c r="H288" t="s">
        <v>13</v>
      </c>
      <c r="I288" t="s">
        <v>94</v>
      </c>
      <c r="J288" t="s">
        <v>15</v>
      </c>
    </row>
    <row r="289" spans="1:10" x14ac:dyDescent="0.25">
      <c r="A289" t="s">
        <v>92</v>
      </c>
      <c r="B289" t="s">
        <v>36</v>
      </c>
      <c r="C289">
        <v>5</v>
      </c>
      <c r="D289">
        <v>3</v>
      </c>
      <c r="E289">
        <v>5</v>
      </c>
      <c r="F289">
        <v>2</v>
      </c>
      <c r="G289" t="s">
        <v>12</v>
      </c>
      <c r="H289" t="s">
        <v>13</v>
      </c>
      <c r="I289" t="s">
        <v>94</v>
      </c>
      <c r="J289" t="s">
        <v>15</v>
      </c>
    </row>
    <row r="290" spans="1:10" x14ac:dyDescent="0.25">
      <c r="A290" t="s">
        <v>92</v>
      </c>
      <c r="B290" t="s">
        <v>37</v>
      </c>
      <c r="C290">
        <v>4</v>
      </c>
      <c r="D290">
        <v>5</v>
      </c>
      <c r="E290">
        <v>5</v>
      </c>
      <c r="F290">
        <v>2</v>
      </c>
      <c r="G290" t="s">
        <v>22</v>
      </c>
      <c r="H290" t="s">
        <v>13</v>
      </c>
      <c r="I290" t="s">
        <v>94</v>
      </c>
      <c r="J290" t="s">
        <v>15</v>
      </c>
    </row>
    <row r="291" spans="1:10" x14ac:dyDescent="0.25">
      <c r="A291" t="s">
        <v>92</v>
      </c>
      <c r="B291" t="s">
        <v>16</v>
      </c>
      <c r="F291">
        <v>0</v>
      </c>
      <c r="H291" t="s">
        <v>13</v>
      </c>
      <c r="I291" t="s">
        <v>94</v>
      </c>
      <c r="J291" t="s">
        <v>15</v>
      </c>
    </row>
    <row r="292" spans="1:10" x14ac:dyDescent="0.25">
      <c r="A292" t="s">
        <v>92</v>
      </c>
      <c r="B292" t="s">
        <v>38</v>
      </c>
      <c r="C292">
        <v>5</v>
      </c>
      <c r="D292">
        <v>5</v>
      </c>
      <c r="E292">
        <v>5</v>
      </c>
      <c r="F292">
        <v>1</v>
      </c>
      <c r="G292" t="s">
        <v>53</v>
      </c>
      <c r="H292" t="s">
        <v>13</v>
      </c>
      <c r="I292" t="s">
        <v>94</v>
      </c>
      <c r="J292" t="s">
        <v>15</v>
      </c>
    </row>
    <row r="293" spans="1:10" x14ac:dyDescent="0.25">
      <c r="A293" t="s">
        <v>92</v>
      </c>
      <c r="B293" t="s">
        <v>16</v>
      </c>
      <c r="F293">
        <v>0</v>
      </c>
      <c r="H293" t="s">
        <v>13</v>
      </c>
      <c r="I293" t="s">
        <v>94</v>
      </c>
      <c r="J293" t="s">
        <v>15</v>
      </c>
    </row>
    <row r="294" spans="1:10" x14ac:dyDescent="0.25">
      <c r="A294" t="s">
        <v>92</v>
      </c>
      <c r="B294" t="s">
        <v>40</v>
      </c>
      <c r="C294">
        <v>4</v>
      </c>
      <c r="D294">
        <v>5</v>
      </c>
      <c r="E294">
        <v>5</v>
      </c>
      <c r="F294">
        <v>1</v>
      </c>
      <c r="G294" t="s">
        <v>20</v>
      </c>
      <c r="H294" t="s">
        <v>13</v>
      </c>
      <c r="I294" t="s">
        <v>94</v>
      </c>
      <c r="J294" t="s">
        <v>15</v>
      </c>
    </row>
    <row r="295" spans="1:10" x14ac:dyDescent="0.25">
      <c r="A295" t="s">
        <v>92</v>
      </c>
      <c r="B295" t="s">
        <v>41</v>
      </c>
      <c r="D295">
        <v>3</v>
      </c>
      <c r="E295">
        <v>5</v>
      </c>
      <c r="F295">
        <v>0</v>
      </c>
      <c r="G295" t="s">
        <v>95</v>
      </c>
      <c r="H295" t="s">
        <v>13</v>
      </c>
      <c r="I295" t="s">
        <v>94</v>
      </c>
      <c r="J295" t="s">
        <v>15</v>
      </c>
    </row>
    <row r="296" spans="1:10" x14ac:dyDescent="0.25">
      <c r="A296" t="s">
        <v>92</v>
      </c>
      <c r="B296" t="s">
        <v>42</v>
      </c>
      <c r="C296">
        <v>5</v>
      </c>
      <c r="D296">
        <v>5</v>
      </c>
      <c r="E296">
        <v>5</v>
      </c>
      <c r="F296">
        <v>2</v>
      </c>
      <c r="G296" t="s">
        <v>12</v>
      </c>
      <c r="H296" t="s">
        <v>13</v>
      </c>
      <c r="I296" t="s">
        <v>94</v>
      </c>
      <c r="J296" t="s">
        <v>15</v>
      </c>
    </row>
    <row r="297" spans="1:10" x14ac:dyDescent="0.25">
      <c r="A297" t="s">
        <v>92</v>
      </c>
      <c r="B297" t="s">
        <v>16</v>
      </c>
      <c r="F297">
        <v>0</v>
      </c>
      <c r="H297" t="s">
        <v>13</v>
      </c>
      <c r="I297" t="s">
        <v>94</v>
      </c>
      <c r="J297" t="s">
        <v>15</v>
      </c>
    </row>
    <row r="298" spans="1:10" x14ac:dyDescent="0.25">
      <c r="A298" t="s">
        <v>92</v>
      </c>
      <c r="B298" t="s">
        <v>43</v>
      </c>
      <c r="C298">
        <v>4</v>
      </c>
      <c r="D298">
        <v>5</v>
      </c>
      <c r="E298">
        <v>5</v>
      </c>
      <c r="F298">
        <v>2</v>
      </c>
      <c r="G298" t="s">
        <v>18</v>
      </c>
      <c r="H298" t="s">
        <v>13</v>
      </c>
      <c r="I298" t="s">
        <v>94</v>
      </c>
      <c r="J298" t="s">
        <v>15</v>
      </c>
    </row>
    <row r="299" spans="1:10" x14ac:dyDescent="0.25">
      <c r="A299" t="s">
        <v>96</v>
      </c>
      <c r="B299" t="s">
        <v>11</v>
      </c>
      <c r="C299">
        <v>5</v>
      </c>
      <c r="D299">
        <v>5</v>
      </c>
      <c r="E299">
        <v>5</v>
      </c>
      <c r="F299">
        <v>3</v>
      </c>
      <c r="G299" t="s">
        <v>12</v>
      </c>
      <c r="H299" t="s">
        <v>13</v>
      </c>
      <c r="I299" t="s">
        <v>97</v>
      </c>
      <c r="J299" t="s">
        <v>15</v>
      </c>
    </row>
    <row r="300" spans="1:10" x14ac:dyDescent="0.25">
      <c r="A300" t="s">
        <v>96</v>
      </c>
      <c r="B300" t="s">
        <v>16</v>
      </c>
      <c r="F300">
        <v>0</v>
      </c>
      <c r="H300" t="s">
        <v>13</v>
      </c>
      <c r="I300" t="s">
        <v>97</v>
      </c>
      <c r="J300" t="s">
        <v>15</v>
      </c>
    </row>
    <row r="301" spans="1:10" x14ac:dyDescent="0.25">
      <c r="A301" t="s">
        <v>96</v>
      </c>
      <c r="B301" t="s">
        <v>17</v>
      </c>
      <c r="C301">
        <v>3</v>
      </c>
      <c r="D301">
        <v>5</v>
      </c>
      <c r="E301">
        <v>5</v>
      </c>
      <c r="F301">
        <v>1</v>
      </c>
      <c r="G301" t="s">
        <v>18</v>
      </c>
      <c r="H301" t="s">
        <v>13</v>
      </c>
      <c r="I301" t="s">
        <v>97</v>
      </c>
      <c r="J301" t="s">
        <v>15</v>
      </c>
    </row>
    <row r="302" spans="1:10" x14ac:dyDescent="0.25">
      <c r="A302" t="s">
        <v>96</v>
      </c>
      <c r="B302" t="s">
        <v>19</v>
      </c>
      <c r="C302">
        <v>4</v>
      </c>
      <c r="D302">
        <v>5</v>
      </c>
      <c r="E302">
        <v>5</v>
      </c>
      <c r="F302">
        <v>2</v>
      </c>
      <c r="G302" t="s">
        <v>25</v>
      </c>
      <c r="H302" t="s">
        <v>13</v>
      </c>
      <c r="I302" t="s">
        <v>97</v>
      </c>
      <c r="J302" t="s">
        <v>15</v>
      </c>
    </row>
    <row r="303" spans="1:10" x14ac:dyDescent="0.25">
      <c r="A303" t="s">
        <v>96</v>
      </c>
      <c r="B303" t="s">
        <v>21</v>
      </c>
      <c r="C303">
        <v>4</v>
      </c>
      <c r="D303">
        <v>3</v>
      </c>
      <c r="E303">
        <v>5</v>
      </c>
      <c r="F303">
        <v>1</v>
      </c>
      <c r="G303" t="s">
        <v>47</v>
      </c>
      <c r="H303" t="s">
        <v>13</v>
      </c>
      <c r="I303" t="s">
        <v>97</v>
      </c>
      <c r="J303" t="s">
        <v>15</v>
      </c>
    </row>
    <row r="304" spans="1:10" x14ac:dyDescent="0.25">
      <c r="A304" t="s">
        <v>96</v>
      </c>
      <c r="B304" t="s">
        <v>16</v>
      </c>
      <c r="F304">
        <v>0</v>
      </c>
      <c r="H304" t="s">
        <v>13</v>
      </c>
      <c r="I304" t="s">
        <v>97</v>
      </c>
      <c r="J304" t="s">
        <v>15</v>
      </c>
    </row>
    <row r="305" spans="1:10" x14ac:dyDescent="0.25">
      <c r="A305" t="s">
        <v>96</v>
      </c>
      <c r="B305" t="s">
        <v>23</v>
      </c>
      <c r="C305">
        <v>4</v>
      </c>
      <c r="D305">
        <v>5</v>
      </c>
      <c r="E305">
        <v>5</v>
      </c>
      <c r="F305">
        <v>1</v>
      </c>
      <c r="G305" t="s">
        <v>47</v>
      </c>
      <c r="H305" t="s">
        <v>13</v>
      </c>
      <c r="I305" t="s">
        <v>97</v>
      </c>
      <c r="J305" t="s">
        <v>15</v>
      </c>
    </row>
    <row r="306" spans="1:10" x14ac:dyDescent="0.25">
      <c r="A306" t="s">
        <v>96</v>
      </c>
      <c r="B306" t="s">
        <v>24</v>
      </c>
      <c r="C306">
        <v>4</v>
      </c>
      <c r="D306">
        <v>4</v>
      </c>
      <c r="E306">
        <v>5</v>
      </c>
      <c r="F306">
        <v>1</v>
      </c>
      <c r="G306" t="s">
        <v>47</v>
      </c>
      <c r="H306" t="s">
        <v>13</v>
      </c>
      <c r="I306" t="s">
        <v>97</v>
      </c>
      <c r="J306" t="s">
        <v>15</v>
      </c>
    </row>
    <row r="307" spans="1:10" x14ac:dyDescent="0.25">
      <c r="A307" t="s">
        <v>96</v>
      </c>
      <c r="B307" t="s">
        <v>26</v>
      </c>
      <c r="F307">
        <v>0</v>
      </c>
      <c r="H307" t="s">
        <v>13</v>
      </c>
      <c r="I307" t="s">
        <v>97</v>
      </c>
      <c r="J307" t="s">
        <v>15</v>
      </c>
    </row>
    <row r="308" spans="1:10" x14ac:dyDescent="0.25">
      <c r="A308" t="s">
        <v>96</v>
      </c>
      <c r="B308" t="s">
        <v>27</v>
      </c>
      <c r="C308">
        <v>4</v>
      </c>
      <c r="D308">
        <v>4</v>
      </c>
      <c r="E308">
        <v>5</v>
      </c>
      <c r="F308">
        <v>1</v>
      </c>
      <c r="G308" t="s">
        <v>47</v>
      </c>
      <c r="H308" t="s">
        <v>13</v>
      </c>
      <c r="I308" t="s">
        <v>97</v>
      </c>
      <c r="J308" t="s">
        <v>15</v>
      </c>
    </row>
    <row r="309" spans="1:10" x14ac:dyDescent="0.25">
      <c r="A309" t="s">
        <v>96</v>
      </c>
      <c r="B309" t="s">
        <v>28</v>
      </c>
      <c r="C309">
        <v>5</v>
      </c>
      <c r="D309">
        <v>5</v>
      </c>
      <c r="E309">
        <v>5</v>
      </c>
      <c r="F309">
        <v>3</v>
      </c>
      <c r="G309" t="s">
        <v>12</v>
      </c>
      <c r="H309" t="s">
        <v>13</v>
      </c>
      <c r="I309" t="s">
        <v>97</v>
      </c>
      <c r="J309" t="s">
        <v>15</v>
      </c>
    </row>
    <row r="310" spans="1:10" x14ac:dyDescent="0.25">
      <c r="A310" t="s">
        <v>96</v>
      </c>
      <c r="B310" t="s">
        <v>30</v>
      </c>
      <c r="C310">
        <v>4</v>
      </c>
      <c r="D310">
        <v>4</v>
      </c>
      <c r="E310">
        <v>5</v>
      </c>
      <c r="F310">
        <v>2</v>
      </c>
      <c r="G310" t="s">
        <v>25</v>
      </c>
      <c r="H310" t="s">
        <v>13</v>
      </c>
      <c r="I310" t="s">
        <v>97</v>
      </c>
      <c r="J310" t="s">
        <v>15</v>
      </c>
    </row>
    <row r="311" spans="1:10" x14ac:dyDescent="0.25">
      <c r="A311" t="s">
        <v>96</v>
      </c>
      <c r="B311" t="s">
        <v>31</v>
      </c>
      <c r="C311">
        <v>4</v>
      </c>
      <c r="D311">
        <v>5</v>
      </c>
      <c r="E311">
        <v>5</v>
      </c>
      <c r="F311">
        <v>2</v>
      </c>
      <c r="G311" t="s">
        <v>25</v>
      </c>
      <c r="H311" t="s">
        <v>13</v>
      </c>
      <c r="I311" t="s">
        <v>97</v>
      </c>
      <c r="J311" t="s">
        <v>15</v>
      </c>
    </row>
    <row r="312" spans="1:10" x14ac:dyDescent="0.25">
      <c r="A312" t="s">
        <v>96</v>
      </c>
      <c r="B312" t="s">
        <v>32</v>
      </c>
      <c r="F312">
        <v>0</v>
      </c>
      <c r="H312" t="s">
        <v>13</v>
      </c>
      <c r="I312" t="s">
        <v>97</v>
      </c>
      <c r="J312" t="s">
        <v>15</v>
      </c>
    </row>
    <row r="313" spans="1:10" x14ac:dyDescent="0.25">
      <c r="A313" t="s">
        <v>96</v>
      </c>
      <c r="B313" t="s">
        <v>33</v>
      </c>
      <c r="F313">
        <v>0</v>
      </c>
      <c r="H313" t="s">
        <v>13</v>
      </c>
      <c r="I313" t="s">
        <v>97</v>
      </c>
      <c r="J313" t="s">
        <v>15</v>
      </c>
    </row>
    <row r="314" spans="1:10" x14ac:dyDescent="0.25">
      <c r="A314" t="s">
        <v>96</v>
      </c>
      <c r="B314" t="s">
        <v>34</v>
      </c>
      <c r="F314">
        <v>0</v>
      </c>
      <c r="H314" t="s">
        <v>13</v>
      </c>
      <c r="I314" t="s">
        <v>97</v>
      </c>
      <c r="J314" t="s">
        <v>15</v>
      </c>
    </row>
    <row r="315" spans="1:10" x14ac:dyDescent="0.25">
      <c r="A315" t="s">
        <v>96</v>
      </c>
      <c r="B315" t="s">
        <v>35</v>
      </c>
      <c r="C315">
        <v>5</v>
      </c>
      <c r="D315">
        <v>4</v>
      </c>
      <c r="E315">
        <v>5</v>
      </c>
      <c r="F315">
        <v>3</v>
      </c>
      <c r="G315" t="s">
        <v>12</v>
      </c>
      <c r="H315" t="s">
        <v>13</v>
      </c>
      <c r="I315" t="s">
        <v>97</v>
      </c>
      <c r="J315" t="s">
        <v>15</v>
      </c>
    </row>
    <row r="316" spans="1:10" x14ac:dyDescent="0.25">
      <c r="A316" t="s">
        <v>96</v>
      </c>
      <c r="B316" t="s">
        <v>36</v>
      </c>
      <c r="C316">
        <v>4</v>
      </c>
      <c r="D316">
        <v>4</v>
      </c>
      <c r="E316">
        <v>5</v>
      </c>
      <c r="F316">
        <v>1</v>
      </c>
      <c r="G316" t="s">
        <v>47</v>
      </c>
      <c r="H316" t="s">
        <v>13</v>
      </c>
      <c r="I316" t="s">
        <v>97</v>
      </c>
      <c r="J316" t="s">
        <v>15</v>
      </c>
    </row>
    <row r="317" spans="1:10" x14ac:dyDescent="0.25">
      <c r="A317" t="s">
        <v>96</v>
      </c>
      <c r="B317" t="s">
        <v>37</v>
      </c>
      <c r="C317">
        <v>4</v>
      </c>
      <c r="D317">
        <v>5</v>
      </c>
      <c r="E317">
        <v>5</v>
      </c>
      <c r="F317">
        <v>2</v>
      </c>
      <c r="G317" t="s">
        <v>25</v>
      </c>
      <c r="H317" t="s">
        <v>13</v>
      </c>
      <c r="I317" t="s">
        <v>97</v>
      </c>
      <c r="J317" t="s">
        <v>15</v>
      </c>
    </row>
    <row r="318" spans="1:10" x14ac:dyDescent="0.25">
      <c r="A318" t="s">
        <v>96</v>
      </c>
      <c r="B318" t="s">
        <v>16</v>
      </c>
      <c r="F318">
        <v>0</v>
      </c>
      <c r="H318" t="s">
        <v>13</v>
      </c>
      <c r="I318" t="s">
        <v>97</v>
      </c>
      <c r="J318" t="s">
        <v>15</v>
      </c>
    </row>
    <row r="319" spans="1:10" x14ac:dyDescent="0.25">
      <c r="A319" t="s">
        <v>96</v>
      </c>
      <c r="B319" t="s">
        <v>38</v>
      </c>
      <c r="C319">
        <v>5</v>
      </c>
      <c r="D319">
        <v>5</v>
      </c>
      <c r="E319">
        <v>5</v>
      </c>
      <c r="F319">
        <v>3</v>
      </c>
      <c r="G319" t="s">
        <v>12</v>
      </c>
      <c r="H319" t="s">
        <v>13</v>
      </c>
      <c r="I319" t="s">
        <v>97</v>
      </c>
      <c r="J319" t="s">
        <v>15</v>
      </c>
    </row>
    <row r="320" spans="1:10" x14ac:dyDescent="0.25">
      <c r="A320" t="s">
        <v>96</v>
      </c>
      <c r="B320" t="s">
        <v>16</v>
      </c>
      <c r="F320">
        <v>0</v>
      </c>
      <c r="H320" t="s">
        <v>13</v>
      </c>
      <c r="I320" t="s">
        <v>97</v>
      </c>
      <c r="J320" t="s">
        <v>15</v>
      </c>
    </row>
    <row r="321" spans="1:10" x14ac:dyDescent="0.25">
      <c r="A321" t="s">
        <v>96</v>
      </c>
      <c r="B321" t="s">
        <v>40</v>
      </c>
      <c r="C321">
        <v>4</v>
      </c>
      <c r="D321">
        <v>5</v>
      </c>
      <c r="E321">
        <v>5</v>
      </c>
      <c r="F321">
        <v>1</v>
      </c>
      <c r="G321" t="s">
        <v>47</v>
      </c>
      <c r="H321" t="s">
        <v>13</v>
      </c>
      <c r="I321" t="s">
        <v>97</v>
      </c>
      <c r="J321" t="s">
        <v>15</v>
      </c>
    </row>
    <row r="322" spans="1:10" x14ac:dyDescent="0.25">
      <c r="A322" t="s">
        <v>96</v>
      </c>
      <c r="B322" t="s">
        <v>41</v>
      </c>
      <c r="C322">
        <v>4</v>
      </c>
      <c r="D322">
        <v>4</v>
      </c>
      <c r="E322">
        <v>5</v>
      </c>
      <c r="F322">
        <v>1</v>
      </c>
      <c r="G322" t="s">
        <v>47</v>
      </c>
      <c r="H322" t="s">
        <v>13</v>
      </c>
      <c r="I322" t="s">
        <v>97</v>
      </c>
      <c r="J322" t="s">
        <v>15</v>
      </c>
    </row>
    <row r="323" spans="1:10" x14ac:dyDescent="0.25">
      <c r="A323" t="s">
        <v>96</v>
      </c>
      <c r="B323" t="s">
        <v>42</v>
      </c>
      <c r="C323">
        <v>4</v>
      </c>
      <c r="D323">
        <v>5</v>
      </c>
      <c r="E323">
        <v>5</v>
      </c>
      <c r="F323">
        <v>1</v>
      </c>
      <c r="G323" t="s">
        <v>47</v>
      </c>
      <c r="H323" t="s">
        <v>13</v>
      </c>
      <c r="I323" t="s">
        <v>97</v>
      </c>
      <c r="J323" t="s">
        <v>15</v>
      </c>
    </row>
    <row r="324" spans="1:10" x14ac:dyDescent="0.25">
      <c r="A324" t="s">
        <v>96</v>
      </c>
      <c r="B324" t="s">
        <v>16</v>
      </c>
      <c r="F324">
        <v>0</v>
      </c>
      <c r="H324" t="s">
        <v>13</v>
      </c>
      <c r="I324" t="s">
        <v>97</v>
      </c>
      <c r="J324" t="s">
        <v>15</v>
      </c>
    </row>
    <row r="325" spans="1:10" x14ac:dyDescent="0.25">
      <c r="A325" t="s">
        <v>96</v>
      </c>
      <c r="B325" t="s">
        <v>43</v>
      </c>
      <c r="C325">
        <v>5</v>
      </c>
      <c r="D325">
        <v>5</v>
      </c>
      <c r="E325">
        <v>5</v>
      </c>
      <c r="F325">
        <v>3</v>
      </c>
      <c r="G325" t="s">
        <v>12</v>
      </c>
      <c r="H325" t="s">
        <v>13</v>
      </c>
      <c r="I325" t="s">
        <v>97</v>
      </c>
      <c r="J325" t="s">
        <v>15</v>
      </c>
    </row>
    <row r="326" spans="1:10" x14ac:dyDescent="0.25">
      <c r="A326" t="s">
        <v>98</v>
      </c>
      <c r="B326" t="s">
        <v>11</v>
      </c>
      <c r="C326">
        <v>4</v>
      </c>
      <c r="D326">
        <v>5</v>
      </c>
      <c r="E326">
        <v>6</v>
      </c>
      <c r="F326">
        <v>2</v>
      </c>
      <c r="G326" t="s">
        <v>25</v>
      </c>
      <c r="H326" t="s">
        <v>13</v>
      </c>
      <c r="I326" t="s">
        <v>99</v>
      </c>
      <c r="J326" t="s">
        <v>15</v>
      </c>
    </row>
    <row r="327" spans="1:10" x14ac:dyDescent="0.25">
      <c r="A327" t="s">
        <v>98</v>
      </c>
      <c r="B327" t="s">
        <v>16</v>
      </c>
      <c r="F327">
        <v>0</v>
      </c>
      <c r="H327" t="s">
        <v>13</v>
      </c>
      <c r="I327" t="s">
        <v>99</v>
      </c>
      <c r="J327" t="s">
        <v>15</v>
      </c>
    </row>
    <row r="328" spans="1:10" x14ac:dyDescent="0.25">
      <c r="A328" t="s">
        <v>98</v>
      </c>
      <c r="B328" t="s">
        <v>17</v>
      </c>
      <c r="C328">
        <v>4</v>
      </c>
      <c r="D328">
        <v>6</v>
      </c>
      <c r="E328">
        <v>6</v>
      </c>
      <c r="F328">
        <v>1</v>
      </c>
      <c r="G328" t="s">
        <v>47</v>
      </c>
      <c r="H328" t="s">
        <v>13</v>
      </c>
      <c r="I328" t="s">
        <v>99</v>
      </c>
      <c r="J328" t="s">
        <v>15</v>
      </c>
    </row>
    <row r="329" spans="1:10" x14ac:dyDescent="0.25">
      <c r="A329" t="s">
        <v>98</v>
      </c>
      <c r="B329" t="s">
        <v>19</v>
      </c>
      <c r="C329">
        <v>4</v>
      </c>
      <c r="D329">
        <v>6</v>
      </c>
      <c r="E329">
        <v>6</v>
      </c>
      <c r="F329">
        <v>1</v>
      </c>
      <c r="G329" t="s">
        <v>25</v>
      </c>
      <c r="H329" t="s">
        <v>13</v>
      </c>
      <c r="I329" t="s">
        <v>99</v>
      </c>
      <c r="J329" t="s">
        <v>15</v>
      </c>
    </row>
    <row r="330" spans="1:10" x14ac:dyDescent="0.25">
      <c r="A330" t="s">
        <v>98</v>
      </c>
      <c r="B330" t="s">
        <v>21</v>
      </c>
      <c r="C330">
        <v>4</v>
      </c>
      <c r="D330">
        <v>6</v>
      </c>
      <c r="E330">
        <v>6</v>
      </c>
      <c r="F330">
        <v>1</v>
      </c>
      <c r="G330" t="s">
        <v>47</v>
      </c>
      <c r="H330" t="s">
        <v>13</v>
      </c>
      <c r="I330" t="s">
        <v>99</v>
      </c>
      <c r="J330" t="s">
        <v>15</v>
      </c>
    </row>
    <row r="331" spans="1:10" x14ac:dyDescent="0.25">
      <c r="A331" t="s">
        <v>98</v>
      </c>
      <c r="B331" t="s">
        <v>16</v>
      </c>
      <c r="F331">
        <v>0</v>
      </c>
      <c r="H331" t="s">
        <v>13</v>
      </c>
      <c r="I331" t="s">
        <v>99</v>
      </c>
      <c r="J331" t="s">
        <v>15</v>
      </c>
    </row>
    <row r="332" spans="1:10" x14ac:dyDescent="0.25">
      <c r="A332" t="s">
        <v>98</v>
      </c>
      <c r="B332" t="s">
        <v>23</v>
      </c>
      <c r="C332">
        <v>5</v>
      </c>
      <c r="D332">
        <v>6</v>
      </c>
      <c r="E332">
        <v>6</v>
      </c>
      <c r="F332">
        <v>3</v>
      </c>
      <c r="G332" t="s">
        <v>12</v>
      </c>
      <c r="H332" t="s">
        <v>13</v>
      </c>
      <c r="I332" t="s">
        <v>99</v>
      </c>
      <c r="J332" t="s">
        <v>15</v>
      </c>
    </row>
    <row r="333" spans="1:10" x14ac:dyDescent="0.25">
      <c r="A333" t="s">
        <v>98</v>
      </c>
      <c r="B333" t="s">
        <v>24</v>
      </c>
      <c r="C333">
        <v>4</v>
      </c>
      <c r="D333">
        <v>6</v>
      </c>
      <c r="E333">
        <v>6</v>
      </c>
      <c r="F333">
        <v>1</v>
      </c>
      <c r="G333" t="s">
        <v>47</v>
      </c>
      <c r="H333" t="s">
        <v>13</v>
      </c>
      <c r="I333" t="s">
        <v>99</v>
      </c>
      <c r="J333" t="s">
        <v>15</v>
      </c>
    </row>
    <row r="334" spans="1:10" x14ac:dyDescent="0.25">
      <c r="A334" t="s">
        <v>98</v>
      </c>
      <c r="B334" t="s">
        <v>26</v>
      </c>
      <c r="F334">
        <v>0</v>
      </c>
      <c r="H334" t="s">
        <v>13</v>
      </c>
      <c r="I334" t="s">
        <v>99</v>
      </c>
      <c r="J334" t="s">
        <v>15</v>
      </c>
    </row>
    <row r="335" spans="1:10" x14ac:dyDescent="0.25">
      <c r="A335" t="s">
        <v>98</v>
      </c>
      <c r="B335" t="s">
        <v>27</v>
      </c>
      <c r="C335">
        <v>4</v>
      </c>
      <c r="D335">
        <v>4</v>
      </c>
      <c r="E335">
        <v>6</v>
      </c>
      <c r="F335">
        <v>1</v>
      </c>
      <c r="G335" t="s">
        <v>25</v>
      </c>
      <c r="H335" t="s">
        <v>13</v>
      </c>
      <c r="I335" t="s">
        <v>99</v>
      </c>
      <c r="J335" t="s">
        <v>15</v>
      </c>
    </row>
    <row r="336" spans="1:10" x14ac:dyDescent="0.25">
      <c r="A336" t="s">
        <v>98</v>
      </c>
      <c r="B336" t="s">
        <v>28</v>
      </c>
      <c r="C336">
        <v>4</v>
      </c>
      <c r="D336">
        <v>6</v>
      </c>
      <c r="E336">
        <v>6</v>
      </c>
      <c r="F336">
        <v>4</v>
      </c>
      <c r="G336" t="s">
        <v>18</v>
      </c>
      <c r="H336" t="s">
        <v>13</v>
      </c>
      <c r="I336" t="s">
        <v>99</v>
      </c>
      <c r="J336" t="s">
        <v>15</v>
      </c>
    </row>
    <row r="337" spans="1:10" x14ac:dyDescent="0.25">
      <c r="A337" t="s">
        <v>98</v>
      </c>
      <c r="B337" t="s">
        <v>30</v>
      </c>
      <c r="C337">
        <v>4</v>
      </c>
      <c r="D337">
        <v>5</v>
      </c>
      <c r="E337">
        <v>6</v>
      </c>
      <c r="F337">
        <v>1</v>
      </c>
      <c r="G337" t="s">
        <v>47</v>
      </c>
      <c r="H337" t="s">
        <v>13</v>
      </c>
      <c r="I337" t="s">
        <v>99</v>
      </c>
      <c r="J337" t="s">
        <v>15</v>
      </c>
    </row>
    <row r="338" spans="1:10" x14ac:dyDescent="0.25">
      <c r="A338" t="s">
        <v>98</v>
      </c>
      <c r="B338" t="s">
        <v>31</v>
      </c>
      <c r="C338">
        <v>4</v>
      </c>
      <c r="D338">
        <v>6</v>
      </c>
      <c r="E338">
        <v>6</v>
      </c>
      <c r="F338">
        <v>1</v>
      </c>
      <c r="G338" t="s">
        <v>47</v>
      </c>
      <c r="H338" t="s">
        <v>13</v>
      </c>
      <c r="I338" t="s">
        <v>99</v>
      </c>
      <c r="J338" t="s">
        <v>15</v>
      </c>
    </row>
    <row r="339" spans="1:10" x14ac:dyDescent="0.25">
      <c r="A339" t="s">
        <v>98</v>
      </c>
      <c r="B339" t="s">
        <v>32</v>
      </c>
      <c r="F339">
        <v>0</v>
      </c>
      <c r="H339" t="s">
        <v>13</v>
      </c>
      <c r="I339" t="s">
        <v>99</v>
      </c>
      <c r="J339" t="s">
        <v>15</v>
      </c>
    </row>
    <row r="340" spans="1:10" x14ac:dyDescent="0.25">
      <c r="A340" t="s">
        <v>98</v>
      </c>
      <c r="B340" t="s">
        <v>33</v>
      </c>
      <c r="F340">
        <v>0</v>
      </c>
      <c r="H340" t="s">
        <v>13</v>
      </c>
      <c r="I340" t="s">
        <v>99</v>
      </c>
      <c r="J340" t="s">
        <v>15</v>
      </c>
    </row>
    <row r="341" spans="1:10" x14ac:dyDescent="0.25">
      <c r="A341" t="s">
        <v>98</v>
      </c>
      <c r="B341" t="s">
        <v>34</v>
      </c>
      <c r="F341">
        <v>0</v>
      </c>
      <c r="H341" t="s">
        <v>13</v>
      </c>
      <c r="I341" t="s">
        <v>99</v>
      </c>
      <c r="J341" t="s">
        <v>15</v>
      </c>
    </row>
    <row r="342" spans="1:10" x14ac:dyDescent="0.25">
      <c r="A342" t="s">
        <v>98</v>
      </c>
      <c r="B342" t="s">
        <v>35</v>
      </c>
      <c r="C342">
        <v>5</v>
      </c>
      <c r="D342">
        <v>4</v>
      </c>
      <c r="E342">
        <v>6</v>
      </c>
      <c r="F342">
        <v>3</v>
      </c>
      <c r="G342" t="s">
        <v>12</v>
      </c>
      <c r="H342" t="s">
        <v>13</v>
      </c>
      <c r="I342" t="s">
        <v>99</v>
      </c>
      <c r="J342" t="s">
        <v>15</v>
      </c>
    </row>
    <row r="343" spans="1:10" x14ac:dyDescent="0.25">
      <c r="A343" t="s">
        <v>98</v>
      </c>
      <c r="B343" t="s">
        <v>36</v>
      </c>
      <c r="C343">
        <v>4</v>
      </c>
      <c r="D343">
        <v>6</v>
      </c>
      <c r="E343">
        <v>6</v>
      </c>
      <c r="F343">
        <v>1</v>
      </c>
      <c r="G343" t="s">
        <v>47</v>
      </c>
      <c r="H343" t="s">
        <v>13</v>
      </c>
      <c r="I343" t="s">
        <v>99</v>
      </c>
      <c r="J343" t="s">
        <v>15</v>
      </c>
    </row>
    <row r="344" spans="1:10" x14ac:dyDescent="0.25">
      <c r="A344" t="s">
        <v>98</v>
      </c>
      <c r="B344" t="s">
        <v>37</v>
      </c>
      <c r="C344">
        <v>5</v>
      </c>
      <c r="D344">
        <v>6</v>
      </c>
      <c r="E344">
        <v>6</v>
      </c>
      <c r="F344">
        <v>3</v>
      </c>
      <c r="G344" t="s">
        <v>44</v>
      </c>
      <c r="H344" t="s">
        <v>13</v>
      </c>
      <c r="I344" t="s">
        <v>99</v>
      </c>
      <c r="J344" t="s">
        <v>15</v>
      </c>
    </row>
    <row r="345" spans="1:10" x14ac:dyDescent="0.25">
      <c r="A345" t="s">
        <v>98</v>
      </c>
      <c r="B345" t="s">
        <v>16</v>
      </c>
      <c r="F345">
        <v>0</v>
      </c>
      <c r="H345" t="s">
        <v>13</v>
      </c>
      <c r="I345" t="s">
        <v>99</v>
      </c>
      <c r="J345" t="s">
        <v>15</v>
      </c>
    </row>
    <row r="346" spans="1:10" x14ac:dyDescent="0.25">
      <c r="A346" t="s">
        <v>98</v>
      </c>
      <c r="B346" t="s">
        <v>38</v>
      </c>
      <c r="C346">
        <v>4</v>
      </c>
      <c r="D346">
        <v>6</v>
      </c>
      <c r="E346">
        <v>6</v>
      </c>
      <c r="F346">
        <v>1</v>
      </c>
      <c r="G346" t="s">
        <v>47</v>
      </c>
      <c r="H346" t="s">
        <v>13</v>
      </c>
      <c r="I346" t="s">
        <v>99</v>
      </c>
      <c r="J346" t="s">
        <v>15</v>
      </c>
    </row>
    <row r="347" spans="1:10" x14ac:dyDescent="0.25">
      <c r="A347" t="s">
        <v>98</v>
      </c>
      <c r="B347" t="s">
        <v>16</v>
      </c>
      <c r="F347">
        <v>0</v>
      </c>
      <c r="H347" t="s">
        <v>13</v>
      </c>
      <c r="I347" t="s">
        <v>99</v>
      </c>
      <c r="J347" t="s">
        <v>15</v>
      </c>
    </row>
    <row r="348" spans="1:10" x14ac:dyDescent="0.25">
      <c r="A348" t="s">
        <v>98</v>
      </c>
      <c r="B348" t="s">
        <v>40</v>
      </c>
      <c r="C348">
        <v>4</v>
      </c>
      <c r="D348">
        <v>6</v>
      </c>
      <c r="E348">
        <v>6</v>
      </c>
      <c r="F348">
        <v>1</v>
      </c>
      <c r="G348" t="s">
        <v>47</v>
      </c>
      <c r="H348" t="s">
        <v>13</v>
      </c>
      <c r="I348" t="s">
        <v>99</v>
      </c>
      <c r="J348" t="s">
        <v>15</v>
      </c>
    </row>
    <row r="349" spans="1:10" x14ac:dyDescent="0.25">
      <c r="A349" t="s">
        <v>98</v>
      </c>
      <c r="B349" t="s">
        <v>41</v>
      </c>
      <c r="C349">
        <v>4</v>
      </c>
      <c r="D349">
        <v>5</v>
      </c>
      <c r="E349">
        <v>6</v>
      </c>
      <c r="F349">
        <v>1</v>
      </c>
      <c r="G349" t="s">
        <v>47</v>
      </c>
      <c r="H349" t="s">
        <v>13</v>
      </c>
      <c r="I349" t="s">
        <v>99</v>
      </c>
      <c r="J349" t="s">
        <v>15</v>
      </c>
    </row>
    <row r="350" spans="1:10" x14ac:dyDescent="0.25">
      <c r="A350" t="s">
        <v>98</v>
      </c>
      <c r="B350" t="s">
        <v>42</v>
      </c>
      <c r="C350">
        <v>4</v>
      </c>
      <c r="D350">
        <v>6</v>
      </c>
      <c r="E350">
        <v>6</v>
      </c>
      <c r="F350">
        <v>1</v>
      </c>
      <c r="G350" t="s">
        <v>47</v>
      </c>
      <c r="H350" t="s">
        <v>13</v>
      </c>
      <c r="I350" t="s">
        <v>99</v>
      </c>
      <c r="J350" t="s">
        <v>15</v>
      </c>
    </row>
    <row r="351" spans="1:10" x14ac:dyDescent="0.25">
      <c r="A351" t="s">
        <v>98</v>
      </c>
      <c r="B351" t="s">
        <v>16</v>
      </c>
      <c r="F351">
        <v>0</v>
      </c>
      <c r="H351" t="s">
        <v>13</v>
      </c>
      <c r="I351" t="s">
        <v>99</v>
      </c>
      <c r="J351" t="s">
        <v>15</v>
      </c>
    </row>
    <row r="352" spans="1:10" x14ac:dyDescent="0.25">
      <c r="A352" t="s">
        <v>98</v>
      </c>
      <c r="B352" t="s">
        <v>43</v>
      </c>
      <c r="C352">
        <v>4</v>
      </c>
      <c r="D352">
        <v>6</v>
      </c>
      <c r="E352">
        <v>6</v>
      </c>
      <c r="F352">
        <v>1</v>
      </c>
      <c r="G352" t="s">
        <v>47</v>
      </c>
      <c r="H352" t="s">
        <v>13</v>
      </c>
      <c r="I352" t="s">
        <v>99</v>
      </c>
      <c r="J352" t="s">
        <v>15</v>
      </c>
    </row>
    <row r="353" spans="1:10" x14ac:dyDescent="0.25">
      <c r="A353" t="s">
        <v>100</v>
      </c>
      <c r="B353" t="s">
        <v>11</v>
      </c>
      <c r="C353">
        <v>4</v>
      </c>
      <c r="D353">
        <v>4</v>
      </c>
      <c r="E353">
        <v>5</v>
      </c>
      <c r="F353">
        <v>2</v>
      </c>
      <c r="G353" t="s">
        <v>18</v>
      </c>
      <c r="H353" t="s">
        <v>13</v>
      </c>
      <c r="I353" t="s">
        <v>101</v>
      </c>
      <c r="J353" t="s">
        <v>15</v>
      </c>
    </row>
    <row r="354" spans="1:10" x14ac:dyDescent="0.25">
      <c r="A354" t="s">
        <v>100</v>
      </c>
      <c r="B354" t="s">
        <v>16</v>
      </c>
      <c r="F354">
        <v>0</v>
      </c>
      <c r="H354" t="s">
        <v>13</v>
      </c>
      <c r="I354" t="s">
        <v>101</v>
      </c>
      <c r="J354" t="s">
        <v>15</v>
      </c>
    </row>
    <row r="355" spans="1:10" x14ac:dyDescent="0.25">
      <c r="A355" t="s">
        <v>100</v>
      </c>
      <c r="B355" t="s">
        <v>17</v>
      </c>
      <c r="C355">
        <v>4</v>
      </c>
      <c r="D355">
        <v>5</v>
      </c>
      <c r="E355">
        <v>5</v>
      </c>
      <c r="F355">
        <v>2</v>
      </c>
      <c r="G355" t="s">
        <v>18</v>
      </c>
      <c r="H355" t="s">
        <v>13</v>
      </c>
      <c r="I355" t="s">
        <v>101</v>
      </c>
      <c r="J355" t="s">
        <v>15</v>
      </c>
    </row>
    <row r="356" spans="1:10" x14ac:dyDescent="0.25">
      <c r="A356" t="s">
        <v>100</v>
      </c>
      <c r="B356" t="s">
        <v>19</v>
      </c>
      <c r="C356">
        <v>5</v>
      </c>
      <c r="D356">
        <v>5</v>
      </c>
      <c r="E356">
        <v>5</v>
      </c>
      <c r="F356">
        <v>4</v>
      </c>
      <c r="G356" t="s">
        <v>44</v>
      </c>
      <c r="H356" t="s">
        <v>13</v>
      </c>
      <c r="I356" t="s">
        <v>101</v>
      </c>
      <c r="J356" t="s">
        <v>15</v>
      </c>
    </row>
    <row r="357" spans="1:10" x14ac:dyDescent="0.25">
      <c r="A357" t="s">
        <v>100</v>
      </c>
      <c r="B357" t="s">
        <v>21</v>
      </c>
      <c r="D357">
        <v>3</v>
      </c>
      <c r="E357">
        <v>5</v>
      </c>
      <c r="F357">
        <v>0</v>
      </c>
      <c r="G357" t="s">
        <v>102</v>
      </c>
      <c r="H357" t="s">
        <v>13</v>
      </c>
      <c r="I357" t="s">
        <v>101</v>
      </c>
      <c r="J357" t="s">
        <v>15</v>
      </c>
    </row>
    <row r="358" spans="1:10" x14ac:dyDescent="0.25">
      <c r="A358" t="s">
        <v>100</v>
      </c>
      <c r="B358" t="s">
        <v>16</v>
      </c>
      <c r="F358">
        <v>0</v>
      </c>
      <c r="H358" t="s">
        <v>13</v>
      </c>
      <c r="I358" t="s">
        <v>101</v>
      </c>
      <c r="J358" t="s">
        <v>15</v>
      </c>
    </row>
    <row r="359" spans="1:10" x14ac:dyDescent="0.25">
      <c r="A359" t="s">
        <v>100</v>
      </c>
      <c r="B359" t="s">
        <v>23</v>
      </c>
      <c r="C359">
        <v>5</v>
      </c>
      <c r="D359">
        <v>5</v>
      </c>
      <c r="E359">
        <v>5</v>
      </c>
      <c r="F359">
        <v>2</v>
      </c>
      <c r="G359" t="s">
        <v>20</v>
      </c>
      <c r="H359" t="s">
        <v>13</v>
      </c>
      <c r="I359" t="s">
        <v>101</v>
      </c>
      <c r="J359" t="s">
        <v>15</v>
      </c>
    </row>
    <row r="360" spans="1:10" x14ac:dyDescent="0.25">
      <c r="A360" t="s">
        <v>100</v>
      </c>
      <c r="B360" t="s">
        <v>24</v>
      </c>
      <c r="D360">
        <v>5</v>
      </c>
      <c r="E360">
        <v>5</v>
      </c>
      <c r="F360">
        <v>0</v>
      </c>
      <c r="G360" t="s">
        <v>103</v>
      </c>
      <c r="H360" t="s">
        <v>13</v>
      </c>
      <c r="I360" t="s">
        <v>101</v>
      </c>
      <c r="J360" t="s">
        <v>15</v>
      </c>
    </row>
    <row r="361" spans="1:10" x14ac:dyDescent="0.25">
      <c r="A361" t="s">
        <v>100</v>
      </c>
      <c r="B361" t="s">
        <v>26</v>
      </c>
      <c r="F361">
        <v>0</v>
      </c>
      <c r="H361" t="s">
        <v>13</v>
      </c>
      <c r="I361" t="s">
        <v>101</v>
      </c>
      <c r="J361" t="s">
        <v>15</v>
      </c>
    </row>
    <row r="362" spans="1:10" x14ac:dyDescent="0.25">
      <c r="A362" t="s">
        <v>100</v>
      </c>
      <c r="B362" t="s">
        <v>27</v>
      </c>
      <c r="C362">
        <v>4</v>
      </c>
      <c r="D362">
        <v>4</v>
      </c>
      <c r="E362">
        <v>5</v>
      </c>
      <c r="F362">
        <v>1</v>
      </c>
      <c r="G362" t="s">
        <v>25</v>
      </c>
      <c r="H362" t="s">
        <v>13</v>
      </c>
      <c r="I362" t="s">
        <v>101</v>
      </c>
      <c r="J362" t="s">
        <v>15</v>
      </c>
    </row>
    <row r="363" spans="1:10" x14ac:dyDescent="0.25">
      <c r="A363" t="s">
        <v>100</v>
      </c>
      <c r="B363" t="s">
        <v>28</v>
      </c>
      <c r="C363">
        <v>3</v>
      </c>
      <c r="D363">
        <v>5</v>
      </c>
      <c r="E363">
        <v>5</v>
      </c>
      <c r="F363">
        <v>1</v>
      </c>
      <c r="G363" t="s">
        <v>18</v>
      </c>
      <c r="H363" t="s">
        <v>13</v>
      </c>
      <c r="I363" t="s">
        <v>101</v>
      </c>
      <c r="J363" t="s">
        <v>15</v>
      </c>
    </row>
    <row r="364" spans="1:10" x14ac:dyDescent="0.25">
      <c r="A364" t="s">
        <v>100</v>
      </c>
      <c r="B364" t="s">
        <v>30</v>
      </c>
      <c r="C364">
        <v>4</v>
      </c>
      <c r="D364">
        <v>4</v>
      </c>
      <c r="E364">
        <v>5</v>
      </c>
      <c r="F364">
        <v>1</v>
      </c>
      <c r="G364" t="s">
        <v>20</v>
      </c>
      <c r="H364" t="s">
        <v>13</v>
      </c>
      <c r="I364" t="s">
        <v>101</v>
      </c>
      <c r="J364" t="s">
        <v>15</v>
      </c>
    </row>
    <row r="365" spans="1:10" x14ac:dyDescent="0.25">
      <c r="A365" t="s">
        <v>100</v>
      </c>
      <c r="B365" t="s">
        <v>31</v>
      </c>
      <c r="C365">
        <v>4</v>
      </c>
      <c r="D365">
        <v>4</v>
      </c>
      <c r="E365">
        <v>5</v>
      </c>
      <c r="F365">
        <v>1</v>
      </c>
      <c r="G365" t="s">
        <v>20</v>
      </c>
      <c r="H365" t="s">
        <v>13</v>
      </c>
      <c r="I365" t="s">
        <v>101</v>
      </c>
      <c r="J365" t="s">
        <v>15</v>
      </c>
    </row>
    <row r="366" spans="1:10" x14ac:dyDescent="0.25">
      <c r="A366" t="s">
        <v>100</v>
      </c>
      <c r="B366" t="s">
        <v>32</v>
      </c>
      <c r="F366">
        <v>0</v>
      </c>
      <c r="H366" t="s">
        <v>13</v>
      </c>
      <c r="I366" t="s">
        <v>101</v>
      </c>
      <c r="J366" t="s">
        <v>15</v>
      </c>
    </row>
    <row r="367" spans="1:10" x14ac:dyDescent="0.25">
      <c r="A367" t="s">
        <v>100</v>
      </c>
      <c r="B367" t="s">
        <v>33</v>
      </c>
      <c r="F367">
        <v>0</v>
      </c>
      <c r="H367" t="s">
        <v>13</v>
      </c>
      <c r="I367" t="s">
        <v>101</v>
      </c>
      <c r="J367" t="s">
        <v>15</v>
      </c>
    </row>
    <row r="368" spans="1:10" x14ac:dyDescent="0.25">
      <c r="A368" t="s">
        <v>100</v>
      </c>
      <c r="B368" t="s">
        <v>34</v>
      </c>
      <c r="F368">
        <v>0</v>
      </c>
      <c r="H368" t="s">
        <v>13</v>
      </c>
      <c r="I368" t="s">
        <v>101</v>
      </c>
      <c r="J368" t="s">
        <v>15</v>
      </c>
    </row>
    <row r="369" spans="1:10" x14ac:dyDescent="0.25">
      <c r="A369" t="s">
        <v>100</v>
      </c>
      <c r="B369" t="s">
        <v>35</v>
      </c>
      <c r="C369">
        <v>5</v>
      </c>
      <c r="D369">
        <v>4</v>
      </c>
      <c r="E369">
        <v>5</v>
      </c>
      <c r="F369">
        <v>3</v>
      </c>
      <c r="G369" t="s">
        <v>18</v>
      </c>
      <c r="H369" t="s">
        <v>13</v>
      </c>
      <c r="I369" t="s">
        <v>101</v>
      </c>
      <c r="J369" t="s">
        <v>15</v>
      </c>
    </row>
    <row r="370" spans="1:10" x14ac:dyDescent="0.25">
      <c r="A370" t="s">
        <v>100</v>
      </c>
      <c r="B370" t="s">
        <v>36</v>
      </c>
      <c r="D370">
        <v>4</v>
      </c>
      <c r="E370">
        <v>5</v>
      </c>
      <c r="F370">
        <v>0</v>
      </c>
      <c r="G370" t="s">
        <v>104</v>
      </c>
      <c r="H370" t="s">
        <v>13</v>
      </c>
      <c r="I370" t="s">
        <v>101</v>
      </c>
      <c r="J370" t="s">
        <v>15</v>
      </c>
    </row>
    <row r="371" spans="1:10" x14ac:dyDescent="0.25">
      <c r="A371" t="s">
        <v>100</v>
      </c>
      <c r="B371" t="s">
        <v>37</v>
      </c>
      <c r="C371">
        <v>4</v>
      </c>
      <c r="D371">
        <v>5</v>
      </c>
      <c r="E371">
        <v>5</v>
      </c>
      <c r="F371">
        <v>2</v>
      </c>
      <c r="G371" t="s">
        <v>18</v>
      </c>
      <c r="H371" t="s">
        <v>13</v>
      </c>
      <c r="I371" t="s">
        <v>101</v>
      </c>
      <c r="J371" t="s">
        <v>15</v>
      </c>
    </row>
    <row r="372" spans="1:10" x14ac:dyDescent="0.25">
      <c r="A372" t="s">
        <v>100</v>
      </c>
      <c r="B372" t="s">
        <v>16</v>
      </c>
      <c r="F372">
        <v>0</v>
      </c>
      <c r="H372" t="s">
        <v>13</v>
      </c>
      <c r="I372" t="s">
        <v>101</v>
      </c>
      <c r="J372" t="s">
        <v>15</v>
      </c>
    </row>
    <row r="373" spans="1:10" x14ac:dyDescent="0.25">
      <c r="A373" t="s">
        <v>100</v>
      </c>
      <c r="B373" t="s">
        <v>38</v>
      </c>
      <c r="C373">
        <v>4</v>
      </c>
      <c r="D373">
        <v>5</v>
      </c>
      <c r="E373">
        <v>5</v>
      </c>
      <c r="F373">
        <v>2</v>
      </c>
      <c r="G373" t="s">
        <v>48</v>
      </c>
      <c r="H373" t="s">
        <v>13</v>
      </c>
      <c r="I373" t="s">
        <v>101</v>
      </c>
      <c r="J373" t="s">
        <v>15</v>
      </c>
    </row>
    <row r="374" spans="1:10" x14ac:dyDescent="0.25">
      <c r="A374" t="s">
        <v>100</v>
      </c>
      <c r="B374" t="s">
        <v>16</v>
      </c>
      <c r="F374">
        <v>0</v>
      </c>
      <c r="H374" t="s">
        <v>13</v>
      </c>
      <c r="I374" t="s">
        <v>101</v>
      </c>
      <c r="J374" t="s">
        <v>15</v>
      </c>
    </row>
    <row r="375" spans="1:10" x14ac:dyDescent="0.25">
      <c r="A375" t="s">
        <v>100</v>
      </c>
      <c r="B375" t="s">
        <v>40</v>
      </c>
      <c r="C375">
        <v>5</v>
      </c>
      <c r="D375">
        <v>5</v>
      </c>
      <c r="E375">
        <v>5</v>
      </c>
      <c r="F375">
        <v>1</v>
      </c>
      <c r="G375" t="s">
        <v>12</v>
      </c>
      <c r="H375" t="s">
        <v>13</v>
      </c>
      <c r="I375" t="s">
        <v>101</v>
      </c>
      <c r="J375" t="s">
        <v>15</v>
      </c>
    </row>
    <row r="376" spans="1:10" x14ac:dyDescent="0.25">
      <c r="A376" t="s">
        <v>100</v>
      </c>
      <c r="B376" t="s">
        <v>41</v>
      </c>
      <c r="C376">
        <v>4</v>
      </c>
      <c r="D376">
        <v>3</v>
      </c>
      <c r="E376">
        <v>5</v>
      </c>
      <c r="F376">
        <v>2</v>
      </c>
      <c r="G376" t="s">
        <v>20</v>
      </c>
      <c r="H376" t="s">
        <v>13</v>
      </c>
      <c r="I376" t="s">
        <v>101</v>
      </c>
      <c r="J376" t="s">
        <v>15</v>
      </c>
    </row>
    <row r="377" spans="1:10" x14ac:dyDescent="0.25">
      <c r="A377" t="s">
        <v>100</v>
      </c>
      <c r="B377" t="s">
        <v>42</v>
      </c>
      <c r="D377">
        <v>5</v>
      </c>
      <c r="E377">
        <v>5</v>
      </c>
      <c r="F377">
        <v>0</v>
      </c>
      <c r="G377" t="s">
        <v>105</v>
      </c>
      <c r="H377" t="s">
        <v>13</v>
      </c>
      <c r="I377" t="s">
        <v>101</v>
      </c>
      <c r="J377" t="s">
        <v>15</v>
      </c>
    </row>
    <row r="378" spans="1:10" x14ac:dyDescent="0.25">
      <c r="A378" t="s">
        <v>100</v>
      </c>
      <c r="B378" t="s">
        <v>16</v>
      </c>
      <c r="F378">
        <v>0</v>
      </c>
      <c r="H378" t="s">
        <v>13</v>
      </c>
      <c r="I378" t="s">
        <v>101</v>
      </c>
      <c r="J378" t="s">
        <v>15</v>
      </c>
    </row>
    <row r="379" spans="1:10" x14ac:dyDescent="0.25">
      <c r="A379" t="s">
        <v>100</v>
      </c>
      <c r="B379" t="s">
        <v>43</v>
      </c>
      <c r="C379">
        <v>4</v>
      </c>
      <c r="D379">
        <v>5</v>
      </c>
      <c r="E379">
        <v>5</v>
      </c>
      <c r="F379">
        <v>1</v>
      </c>
      <c r="G379" t="s">
        <v>20</v>
      </c>
      <c r="H379" t="s">
        <v>13</v>
      </c>
      <c r="I379" t="s">
        <v>101</v>
      </c>
      <c r="J379" t="s">
        <v>15</v>
      </c>
    </row>
    <row r="380" spans="1:10" x14ac:dyDescent="0.25">
      <c r="A380" t="s">
        <v>106</v>
      </c>
      <c r="B380" t="s">
        <v>11</v>
      </c>
      <c r="D380">
        <v>3</v>
      </c>
      <c r="E380">
        <v>5</v>
      </c>
      <c r="F380">
        <v>0</v>
      </c>
      <c r="G380" t="s">
        <v>107</v>
      </c>
      <c r="H380" t="s">
        <v>13</v>
      </c>
      <c r="I380" t="s">
        <v>108</v>
      </c>
      <c r="J380" t="s">
        <v>15</v>
      </c>
    </row>
    <row r="381" spans="1:10" x14ac:dyDescent="0.25">
      <c r="A381" t="s">
        <v>106</v>
      </c>
      <c r="B381" t="s">
        <v>16</v>
      </c>
      <c r="F381">
        <v>0</v>
      </c>
      <c r="H381" t="s">
        <v>13</v>
      </c>
      <c r="I381" t="s">
        <v>108</v>
      </c>
      <c r="J381" t="s">
        <v>15</v>
      </c>
    </row>
    <row r="382" spans="1:10" x14ac:dyDescent="0.25">
      <c r="A382" t="s">
        <v>106</v>
      </c>
      <c r="B382" t="s">
        <v>17</v>
      </c>
      <c r="D382">
        <v>5</v>
      </c>
      <c r="E382">
        <v>5</v>
      </c>
      <c r="F382">
        <v>0</v>
      </c>
      <c r="G382" t="s">
        <v>109</v>
      </c>
      <c r="H382" t="s">
        <v>13</v>
      </c>
      <c r="I382" t="s">
        <v>108</v>
      </c>
      <c r="J382" t="s">
        <v>15</v>
      </c>
    </row>
    <row r="383" spans="1:10" x14ac:dyDescent="0.25">
      <c r="A383" t="s">
        <v>106</v>
      </c>
      <c r="B383" t="s">
        <v>19</v>
      </c>
      <c r="C383">
        <v>4</v>
      </c>
      <c r="D383">
        <v>5</v>
      </c>
      <c r="E383">
        <v>5</v>
      </c>
      <c r="F383">
        <v>2</v>
      </c>
      <c r="G383" t="s">
        <v>22</v>
      </c>
      <c r="H383" t="s">
        <v>13</v>
      </c>
      <c r="I383" t="s">
        <v>108</v>
      </c>
      <c r="J383" t="s">
        <v>15</v>
      </c>
    </row>
    <row r="384" spans="1:10" x14ac:dyDescent="0.25">
      <c r="A384" t="s">
        <v>106</v>
      </c>
      <c r="B384" t="s">
        <v>21</v>
      </c>
      <c r="C384">
        <v>5</v>
      </c>
      <c r="D384">
        <v>4</v>
      </c>
      <c r="E384">
        <v>5</v>
      </c>
      <c r="F384">
        <v>3</v>
      </c>
      <c r="G384" t="s">
        <v>44</v>
      </c>
      <c r="H384" t="s">
        <v>13</v>
      </c>
      <c r="I384" t="s">
        <v>108</v>
      </c>
      <c r="J384" t="s">
        <v>15</v>
      </c>
    </row>
    <row r="385" spans="1:10" x14ac:dyDescent="0.25">
      <c r="A385" t="s">
        <v>106</v>
      </c>
      <c r="B385" t="s">
        <v>16</v>
      </c>
      <c r="F385">
        <v>0</v>
      </c>
      <c r="H385" t="s">
        <v>13</v>
      </c>
      <c r="I385" t="s">
        <v>108</v>
      </c>
      <c r="J385" t="s">
        <v>15</v>
      </c>
    </row>
    <row r="386" spans="1:10" x14ac:dyDescent="0.25">
      <c r="A386" t="s">
        <v>106</v>
      </c>
      <c r="B386" t="s">
        <v>23</v>
      </c>
      <c r="C386">
        <v>4</v>
      </c>
      <c r="D386">
        <v>4</v>
      </c>
      <c r="E386">
        <v>5</v>
      </c>
      <c r="F386">
        <v>2</v>
      </c>
      <c r="G386" t="s">
        <v>50</v>
      </c>
      <c r="H386" t="s">
        <v>13</v>
      </c>
      <c r="I386" t="s">
        <v>108</v>
      </c>
      <c r="J386" t="s">
        <v>15</v>
      </c>
    </row>
    <row r="387" spans="1:10" x14ac:dyDescent="0.25">
      <c r="A387" t="s">
        <v>106</v>
      </c>
      <c r="B387" t="s">
        <v>24</v>
      </c>
      <c r="C387">
        <v>5</v>
      </c>
      <c r="D387">
        <v>3</v>
      </c>
      <c r="E387">
        <v>5</v>
      </c>
      <c r="F387">
        <v>1</v>
      </c>
      <c r="G387" t="s">
        <v>12</v>
      </c>
      <c r="H387" t="s">
        <v>13</v>
      </c>
      <c r="I387" t="s">
        <v>108</v>
      </c>
      <c r="J387" t="s">
        <v>15</v>
      </c>
    </row>
    <row r="388" spans="1:10" x14ac:dyDescent="0.25">
      <c r="A388" t="s">
        <v>106</v>
      </c>
      <c r="B388" t="s">
        <v>26</v>
      </c>
      <c r="F388">
        <v>0</v>
      </c>
      <c r="H388" t="s">
        <v>13</v>
      </c>
      <c r="I388" t="s">
        <v>108</v>
      </c>
      <c r="J388" t="s">
        <v>15</v>
      </c>
    </row>
    <row r="389" spans="1:10" x14ac:dyDescent="0.25">
      <c r="A389" t="s">
        <v>106</v>
      </c>
      <c r="B389" t="s">
        <v>27</v>
      </c>
      <c r="C389">
        <v>5</v>
      </c>
      <c r="D389">
        <v>4</v>
      </c>
      <c r="E389">
        <v>5</v>
      </c>
      <c r="F389">
        <v>1</v>
      </c>
      <c r="G389" t="s">
        <v>12</v>
      </c>
      <c r="H389" t="s">
        <v>13</v>
      </c>
      <c r="I389" t="s">
        <v>108</v>
      </c>
      <c r="J389" t="s">
        <v>15</v>
      </c>
    </row>
    <row r="390" spans="1:10" x14ac:dyDescent="0.25">
      <c r="A390" t="s">
        <v>106</v>
      </c>
      <c r="B390" t="s">
        <v>28</v>
      </c>
      <c r="C390">
        <v>0</v>
      </c>
      <c r="D390">
        <v>5</v>
      </c>
      <c r="E390">
        <v>5</v>
      </c>
      <c r="F390">
        <v>1</v>
      </c>
      <c r="G390" t="s">
        <v>59</v>
      </c>
      <c r="H390" t="s">
        <v>13</v>
      </c>
      <c r="I390" t="s">
        <v>108</v>
      </c>
      <c r="J390" t="s">
        <v>15</v>
      </c>
    </row>
    <row r="391" spans="1:10" x14ac:dyDescent="0.25">
      <c r="A391" t="s">
        <v>106</v>
      </c>
      <c r="B391" t="s">
        <v>30</v>
      </c>
      <c r="C391">
        <v>5</v>
      </c>
      <c r="D391">
        <v>4</v>
      </c>
      <c r="E391">
        <v>5</v>
      </c>
      <c r="F391">
        <v>1</v>
      </c>
      <c r="G391" t="s">
        <v>12</v>
      </c>
      <c r="H391" t="s">
        <v>13</v>
      </c>
      <c r="I391" t="s">
        <v>108</v>
      </c>
      <c r="J391" t="s">
        <v>15</v>
      </c>
    </row>
    <row r="392" spans="1:10" x14ac:dyDescent="0.25">
      <c r="A392" t="s">
        <v>106</v>
      </c>
      <c r="B392" t="s">
        <v>31</v>
      </c>
      <c r="C392">
        <v>5</v>
      </c>
      <c r="D392">
        <v>5</v>
      </c>
      <c r="E392">
        <v>5</v>
      </c>
      <c r="F392">
        <v>1</v>
      </c>
      <c r="G392" t="s">
        <v>12</v>
      </c>
      <c r="H392" t="s">
        <v>13</v>
      </c>
      <c r="I392" t="s">
        <v>108</v>
      </c>
      <c r="J392" t="s">
        <v>15</v>
      </c>
    </row>
    <row r="393" spans="1:10" x14ac:dyDescent="0.25">
      <c r="A393" t="s">
        <v>106</v>
      </c>
      <c r="B393" t="s">
        <v>32</v>
      </c>
      <c r="F393">
        <v>0</v>
      </c>
      <c r="H393" t="s">
        <v>13</v>
      </c>
      <c r="I393" t="s">
        <v>108</v>
      </c>
      <c r="J393" t="s">
        <v>15</v>
      </c>
    </row>
    <row r="394" spans="1:10" x14ac:dyDescent="0.25">
      <c r="A394" t="s">
        <v>106</v>
      </c>
      <c r="B394" t="s">
        <v>33</v>
      </c>
      <c r="F394">
        <v>0</v>
      </c>
      <c r="H394" t="s">
        <v>13</v>
      </c>
      <c r="I394" t="s">
        <v>108</v>
      </c>
      <c r="J394" t="s">
        <v>15</v>
      </c>
    </row>
    <row r="395" spans="1:10" x14ac:dyDescent="0.25">
      <c r="A395" t="s">
        <v>106</v>
      </c>
      <c r="B395" t="s">
        <v>34</v>
      </c>
      <c r="F395">
        <v>0</v>
      </c>
      <c r="H395" t="s">
        <v>13</v>
      </c>
      <c r="I395" t="s">
        <v>108</v>
      </c>
      <c r="J395" t="s">
        <v>15</v>
      </c>
    </row>
    <row r="396" spans="1:10" x14ac:dyDescent="0.25">
      <c r="A396" t="s">
        <v>106</v>
      </c>
      <c r="B396" t="s">
        <v>35</v>
      </c>
      <c r="C396">
        <v>4</v>
      </c>
      <c r="D396">
        <v>3</v>
      </c>
      <c r="E396">
        <v>5</v>
      </c>
      <c r="F396">
        <v>2</v>
      </c>
      <c r="G396" t="s">
        <v>50</v>
      </c>
      <c r="H396" t="s">
        <v>13</v>
      </c>
      <c r="I396" t="s">
        <v>108</v>
      </c>
      <c r="J396" t="s">
        <v>15</v>
      </c>
    </row>
    <row r="397" spans="1:10" x14ac:dyDescent="0.25">
      <c r="A397" t="s">
        <v>106</v>
      </c>
      <c r="B397" t="s">
        <v>36</v>
      </c>
      <c r="C397">
        <v>5</v>
      </c>
      <c r="D397">
        <v>5</v>
      </c>
      <c r="E397">
        <v>5</v>
      </c>
      <c r="F397">
        <v>2</v>
      </c>
      <c r="G397" t="s">
        <v>22</v>
      </c>
      <c r="H397" t="s">
        <v>13</v>
      </c>
      <c r="I397" t="s">
        <v>108</v>
      </c>
      <c r="J397" t="s">
        <v>15</v>
      </c>
    </row>
    <row r="398" spans="1:10" x14ac:dyDescent="0.25">
      <c r="A398" t="s">
        <v>106</v>
      </c>
      <c r="B398" t="s">
        <v>37</v>
      </c>
      <c r="D398">
        <v>5</v>
      </c>
      <c r="E398">
        <v>5</v>
      </c>
      <c r="F398">
        <v>0</v>
      </c>
      <c r="G398" t="s">
        <v>110</v>
      </c>
      <c r="H398" t="s">
        <v>13</v>
      </c>
      <c r="I398" t="s">
        <v>108</v>
      </c>
      <c r="J398" t="s">
        <v>15</v>
      </c>
    </row>
    <row r="399" spans="1:10" x14ac:dyDescent="0.25">
      <c r="A399" t="s">
        <v>106</v>
      </c>
      <c r="B399" t="s">
        <v>16</v>
      </c>
      <c r="F399">
        <v>0</v>
      </c>
      <c r="H399" t="s">
        <v>13</v>
      </c>
      <c r="I399" t="s">
        <v>108</v>
      </c>
      <c r="J399" t="s">
        <v>15</v>
      </c>
    </row>
    <row r="400" spans="1:10" x14ac:dyDescent="0.25">
      <c r="A400" t="s">
        <v>106</v>
      </c>
      <c r="B400" t="s">
        <v>38</v>
      </c>
      <c r="C400">
        <v>5</v>
      </c>
      <c r="D400">
        <v>5</v>
      </c>
      <c r="E400">
        <v>5</v>
      </c>
      <c r="F400">
        <v>2</v>
      </c>
      <c r="G400" t="s">
        <v>59</v>
      </c>
      <c r="H400" t="s">
        <v>13</v>
      </c>
      <c r="I400" t="s">
        <v>108</v>
      </c>
      <c r="J400" t="s">
        <v>15</v>
      </c>
    </row>
    <row r="401" spans="1:10" x14ac:dyDescent="0.25">
      <c r="A401" t="s">
        <v>106</v>
      </c>
      <c r="B401" t="s">
        <v>16</v>
      </c>
      <c r="F401">
        <v>0</v>
      </c>
      <c r="H401" t="s">
        <v>13</v>
      </c>
      <c r="I401" t="s">
        <v>108</v>
      </c>
      <c r="J401" t="s">
        <v>15</v>
      </c>
    </row>
    <row r="402" spans="1:10" x14ac:dyDescent="0.25">
      <c r="A402" t="s">
        <v>106</v>
      </c>
      <c r="B402" t="s">
        <v>40</v>
      </c>
      <c r="D402">
        <v>5</v>
      </c>
      <c r="E402">
        <v>5</v>
      </c>
      <c r="F402">
        <v>0</v>
      </c>
      <c r="G402" t="s">
        <v>111</v>
      </c>
      <c r="H402" t="s">
        <v>13</v>
      </c>
      <c r="I402" t="s">
        <v>108</v>
      </c>
      <c r="J402" t="s">
        <v>15</v>
      </c>
    </row>
    <row r="403" spans="1:10" x14ac:dyDescent="0.25">
      <c r="A403" t="s">
        <v>106</v>
      </c>
      <c r="B403" t="s">
        <v>41</v>
      </c>
      <c r="C403">
        <v>5</v>
      </c>
      <c r="D403">
        <v>3</v>
      </c>
      <c r="E403">
        <v>5</v>
      </c>
      <c r="F403">
        <v>1</v>
      </c>
      <c r="G403" t="s">
        <v>12</v>
      </c>
      <c r="H403" t="s">
        <v>13</v>
      </c>
      <c r="I403" t="s">
        <v>108</v>
      </c>
      <c r="J403" t="s">
        <v>15</v>
      </c>
    </row>
    <row r="404" spans="1:10" x14ac:dyDescent="0.25">
      <c r="A404" t="s">
        <v>106</v>
      </c>
      <c r="B404" t="s">
        <v>42</v>
      </c>
      <c r="C404">
        <v>5</v>
      </c>
      <c r="D404">
        <v>5</v>
      </c>
      <c r="E404">
        <v>5</v>
      </c>
      <c r="F404">
        <v>1</v>
      </c>
      <c r="G404" t="s">
        <v>12</v>
      </c>
      <c r="H404" t="s">
        <v>13</v>
      </c>
      <c r="I404" t="s">
        <v>108</v>
      </c>
      <c r="J404" t="s">
        <v>15</v>
      </c>
    </row>
    <row r="405" spans="1:10" x14ac:dyDescent="0.25">
      <c r="A405" t="s">
        <v>106</v>
      </c>
      <c r="B405" t="s">
        <v>16</v>
      </c>
      <c r="F405">
        <v>0</v>
      </c>
      <c r="H405" t="s">
        <v>13</v>
      </c>
      <c r="I405" t="s">
        <v>108</v>
      </c>
      <c r="J405" t="s">
        <v>15</v>
      </c>
    </row>
    <row r="406" spans="1:10" x14ac:dyDescent="0.25">
      <c r="A406" t="s">
        <v>106</v>
      </c>
      <c r="B406" t="s">
        <v>43</v>
      </c>
      <c r="C406">
        <v>4</v>
      </c>
      <c r="D406">
        <v>5</v>
      </c>
      <c r="E406">
        <v>5</v>
      </c>
      <c r="F406">
        <v>4</v>
      </c>
      <c r="G406" t="s">
        <v>39</v>
      </c>
      <c r="H406" t="s">
        <v>13</v>
      </c>
      <c r="I406" t="s">
        <v>108</v>
      </c>
      <c r="J406" t="s">
        <v>15</v>
      </c>
    </row>
    <row r="407" spans="1:10" x14ac:dyDescent="0.25">
      <c r="A407" t="s">
        <v>112</v>
      </c>
      <c r="B407" t="s">
        <v>11</v>
      </c>
      <c r="C407">
        <v>4</v>
      </c>
      <c r="D407">
        <v>14</v>
      </c>
      <c r="E407">
        <v>15</v>
      </c>
      <c r="F407">
        <v>1</v>
      </c>
      <c r="G407" t="s">
        <v>20</v>
      </c>
      <c r="H407" t="s">
        <v>13</v>
      </c>
      <c r="I407" t="s">
        <v>113</v>
      </c>
      <c r="J407" t="s">
        <v>58</v>
      </c>
    </row>
    <row r="408" spans="1:10" x14ac:dyDescent="0.25">
      <c r="A408" t="s">
        <v>112</v>
      </c>
      <c r="B408" t="s">
        <v>16</v>
      </c>
      <c r="F408">
        <v>0</v>
      </c>
      <c r="H408" t="s">
        <v>13</v>
      </c>
      <c r="I408" t="s">
        <v>113</v>
      </c>
      <c r="J408" t="s">
        <v>58</v>
      </c>
    </row>
    <row r="409" spans="1:10" x14ac:dyDescent="0.25">
      <c r="A409" t="s">
        <v>112</v>
      </c>
      <c r="B409" t="s">
        <v>17</v>
      </c>
      <c r="C409">
        <v>4</v>
      </c>
      <c r="D409">
        <v>13</v>
      </c>
      <c r="E409">
        <v>15</v>
      </c>
      <c r="F409">
        <v>2</v>
      </c>
      <c r="G409" t="s">
        <v>50</v>
      </c>
      <c r="H409" t="s">
        <v>13</v>
      </c>
      <c r="I409" t="s">
        <v>113</v>
      </c>
      <c r="J409" t="s">
        <v>58</v>
      </c>
    </row>
    <row r="410" spans="1:10" x14ac:dyDescent="0.25">
      <c r="A410" t="s">
        <v>112</v>
      </c>
      <c r="B410" t="s">
        <v>19</v>
      </c>
      <c r="C410">
        <v>4</v>
      </c>
      <c r="D410">
        <v>13</v>
      </c>
      <c r="E410">
        <v>15</v>
      </c>
      <c r="F410">
        <v>1</v>
      </c>
      <c r="G410" t="s">
        <v>47</v>
      </c>
      <c r="H410" t="s">
        <v>13</v>
      </c>
      <c r="I410" t="s">
        <v>113</v>
      </c>
      <c r="J410" t="s">
        <v>58</v>
      </c>
    </row>
    <row r="411" spans="1:10" x14ac:dyDescent="0.25">
      <c r="A411" t="s">
        <v>112</v>
      </c>
      <c r="B411" t="s">
        <v>21</v>
      </c>
      <c r="C411">
        <v>5</v>
      </c>
      <c r="D411">
        <v>11</v>
      </c>
      <c r="E411">
        <v>15</v>
      </c>
      <c r="F411">
        <v>2</v>
      </c>
      <c r="G411" t="s">
        <v>53</v>
      </c>
      <c r="H411" t="s">
        <v>13</v>
      </c>
      <c r="I411" t="s">
        <v>113</v>
      </c>
      <c r="J411" t="s">
        <v>58</v>
      </c>
    </row>
    <row r="412" spans="1:10" x14ac:dyDescent="0.25">
      <c r="A412" t="s">
        <v>112</v>
      </c>
      <c r="B412" t="s">
        <v>16</v>
      </c>
      <c r="F412">
        <v>0</v>
      </c>
      <c r="H412" t="s">
        <v>13</v>
      </c>
      <c r="I412" t="s">
        <v>113</v>
      </c>
      <c r="J412" t="s">
        <v>58</v>
      </c>
    </row>
    <row r="413" spans="1:10" x14ac:dyDescent="0.25">
      <c r="A413" t="s">
        <v>112</v>
      </c>
      <c r="B413" t="s">
        <v>23</v>
      </c>
      <c r="C413">
        <v>5</v>
      </c>
      <c r="D413">
        <v>10</v>
      </c>
      <c r="E413">
        <v>15</v>
      </c>
      <c r="F413">
        <v>1</v>
      </c>
      <c r="G413" t="s">
        <v>53</v>
      </c>
      <c r="H413" t="s">
        <v>13</v>
      </c>
      <c r="I413" t="s">
        <v>113</v>
      </c>
      <c r="J413" t="s">
        <v>58</v>
      </c>
    </row>
    <row r="414" spans="1:10" x14ac:dyDescent="0.25">
      <c r="A414" t="s">
        <v>112</v>
      </c>
      <c r="B414" t="s">
        <v>24</v>
      </c>
      <c r="D414">
        <v>13</v>
      </c>
      <c r="E414">
        <v>15</v>
      </c>
      <c r="F414">
        <v>0</v>
      </c>
      <c r="G414" t="s">
        <v>114</v>
      </c>
      <c r="H414" t="s">
        <v>13</v>
      </c>
      <c r="I414" t="s">
        <v>113</v>
      </c>
      <c r="J414" t="s">
        <v>58</v>
      </c>
    </row>
    <row r="415" spans="1:10" x14ac:dyDescent="0.25">
      <c r="A415" t="s">
        <v>112</v>
      </c>
      <c r="B415" t="s">
        <v>26</v>
      </c>
      <c r="F415">
        <v>0</v>
      </c>
      <c r="H415" t="s">
        <v>13</v>
      </c>
      <c r="I415" t="s">
        <v>113</v>
      </c>
      <c r="J415" t="s">
        <v>58</v>
      </c>
    </row>
    <row r="416" spans="1:10" x14ac:dyDescent="0.25">
      <c r="A416" t="s">
        <v>112</v>
      </c>
      <c r="B416" t="s">
        <v>27</v>
      </c>
      <c r="C416">
        <v>4</v>
      </c>
      <c r="D416">
        <v>10</v>
      </c>
      <c r="E416">
        <v>15</v>
      </c>
      <c r="F416">
        <v>1</v>
      </c>
      <c r="G416" t="s">
        <v>47</v>
      </c>
      <c r="H416" t="s">
        <v>13</v>
      </c>
      <c r="I416" t="s">
        <v>113</v>
      </c>
      <c r="J416" t="s">
        <v>58</v>
      </c>
    </row>
    <row r="417" spans="1:10" x14ac:dyDescent="0.25">
      <c r="A417" t="s">
        <v>112</v>
      </c>
      <c r="B417" t="s">
        <v>28</v>
      </c>
      <c r="C417">
        <v>5</v>
      </c>
      <c r="D417">
        <v>13</v>
      </c>
      <c r="E417">
        <v>15</v>
      </c>
      <c r="F417">
        <v>2</v>
      </c>
      <c r="G417" t="s">
        <v>84</v>
      </c>
      <c r="H417" t="s">
        <v>13</v>
      </c>
      <c r="I417" t="s">
        <v>113</v>
      </c>
      <c r="J417" t="s">
        <v>58</v>
      </c>
    </row>
    <row r="418" spans="1:10" x14ac:dyDescent="0.25">
      <c r="A418" t="s">
        <v>112</v>
      </c>
      <c r="B418" t="s">
        <v>30</v>
      </c>
      <c r="C418">
        <v>4</v>
      </c>
      <c r="D418">
        <v>13</v>
      </c>
      <c r="E418">
        <v>15</v>
      </c>
      <c r="F418">
        <v>1</v>
      </c>
      <c r="G418" t="s">
        <v>20</v>
      </c>
      <c r="H418" t="s">
        <v>13</v>
      </c>
      <c r="I418" t="s">
        <v>113</v>
      </c>
      <c r="J418" t="s">
        <v>58</v>
      </c>
    </row>
    <row r="419" spans="1:10" x14ac:dyDescent="0.25">
      <c r="A419" t="s">
        <v>112</v>
      </c>
      <c r="B419" t="s">
        <v>31</v>
      </c>
      <c r="D419">
        <v>14</v>
      </c>
      <c r="E419">
        <v>15</v>
      </c>
      <c r="F419">
        <v>0</v>
      </c>
      <c r="G419" t="s">
        <v>115</v>
      </c>
      <c r="H419" t="s">
        <v>13</v>
      </c>
      <c r="I419" t="s">
        <v>113</v>
      </c>
      <c r="J419" t="s">
        <v>58</v>
      </c>
    </row>
    <row r="420" spans="1:10" x14ac:dyDescent="0.25">
      <c r="A420" t="s">
        <v>112</v>
      </c>
      <c r="B420" t="s">
        <v>32</v>
      </c>
      <c r="F420">
        <v>0</v>
      </c>
      <c r="H420" t="s">
        <v>13</v>
      </c>
      <c r="I420" t="s">
        <v>113</v>
      </c>
      <c r="J420" t="s">
        <v>58</v>
      </c>
    </row>
    <row r="421" spans="1:10" x14ac:dyDescent="0.25">
      <c r="A421" t="s">
        <v>112</v>
      </c>
      <c r="B421" t="s">
        <v>33</v>
      </c>
      <c r="F421">
        <v>0</v>
      </c>
      <c r="H421" t="s">
        <v>13</v>
      </c>
      <c r="I421" t="s">
        <v>113</v>
      </c>
      <c r="J421" t="s">
        <v>58</v>
      </c>
    </row>
    <row r="422" spans="1:10" x14ac:dyDescent="0.25">
      <c r="A422" t="s">
        <v>112</v>
      </c>
      <c r="B422" t="s">
        <v>34</v>
      </c>
      <c r="F422">
        <v>0</v>
      </c>
      <c r="H422" t="s">
        <v>13</v>
      </c>
      <c r="I422" t="s">
        <v>113</v>
      </c>
      <c r="J422" t="s">
        <v>58</v>
      </c>
    </row>
    <row r="423" spans="1:10" x14ac:dyDescent="0.25">
      <c r="A423" t="s">
        <v>112</v>
      </c>
      <c r="B423" t="s">
        <v>35</v>
      </c>
      <c r="C423">
        <v>3</v>
      </c>
      <c r="D423">
        <v>4</v>
      </c>
      <c r="E423">
        <v>15</v>
      </c>
      <c r="F423">
        <v>1</v>
      </c>
      <c r="G423" t="s">
        <v>18</v>
      </c>
      <c r="H423" t="s">
        <v>13</v>
      </c>
      <c r="I423" t="s">
        <v>113</v>
      </c>
      <c r="J423" t="s">
        <v>58</v>
      </c>
    </row>
    <row r="424" spans="1:10" x14ac:dyDescent="0.25">
      <c r="A424" t="s">
        <v>112</v>
      </c>
      <c r="B424" t="s">
        <v>36</v>
      </c>
      <c r="C424">
        <v>3</v>
      </c>
      <c r="D424">
        <v>13</v>
      </c>
      <c r="E424">
        <v>15</v>
      </c>
      <c r="F424">
        <v>1</v>
      </c>
      <c r="G424" t="s">
        <v>18</v>
      </c>
      <c r="H424" t="s">
        <v>13</v>
      </c>
      <c r="I424" t="s">
        <v>113</v>
      </c>
      <c r="J424" t="s">
        <v>58</v>
      </c>
    </row>
    <row r="425" spans="1:10" x14ac:dyDescent="0.25">
      <c r="A425" t="s">
        <v>112</v>
      </c>
      <c r="B425" t="s">
        <v>37</v>
      </c>
      <c r="C425">
        <v>4</v>
      </c>
      <c r="D425">
        <v>15</v>
      </c>
      <c r="E425">
        <v>15</v>
      </c>
      <c r="F425">
        <v>4</v>
      </c>
      <c r="G425" t="s">
        <v>50</v>
      </c>
      <c r="H425" t="s">
        <v>13</v>
      </c>
      <c r="I425" t="s">
        <v>113</v>
      </c>
      <c r="J425" t="s">
        <v>58</v>
      </c>
    </row>
    <row r="426" spans="1:10" x14ac:dyDescent="0.25">
      <c r="A426" t="s">
        <v>112</v>
      </c>
      <c r="B426" t="s">
        <v>16</v>
      </c>
      <c r="F426">
        <v>0</v>
      </c>
      <c r="H426" t="s">
        <v>13</v>
      </c>
      <c r="I426" t="s">
        <v>113</v>
      </c>
      <c r="J426" t="s">
        <v>58</v>
      </c>
    </row>
    <row r="427" spans="1:10" x14ac:dyDescent="0.25">
      <c r="A427" t="s">
        <v>112</v>
      </c>
      <c r="B427" t="s">
        <v>38</v>
      </c>
      <c r="C427">
        <v>4</v>
      </c>
      <c r="D427">
        <v>15</v>
      </c>
      <c r="E427">
        <v>15</v>
      </c>
      <c r="F427">
        <v>2</v>
      </c>
      <c r="G427" t="s">
        <v>54</v>
      </c>
      <c r="H427" t="s">
        <v>13</v>
      </c>
      <c r="I427" t="s">
        <v>113</v>
      </c>
      <c r="J427" t="s">
        <v>58</v>
      </c>
    </row>
    <row r="428" spans="1:10" x14ac:dyDescent="0.25">
      <c r="A428" t="s">
        <v>112</v>
      </c>
      <c r="B428" t="s">
        <v>16</v>
      </c>
      <c r="F428">
        <v>0</v>
      </c>
      <c r="H428" t="s">
        <v>13</v>
      </c>
      <c r="I428" t="s">
        <v>113</v>
      </c>
      <c r="J428" t="s">
        <v>58</v>
      </c>
    </row>
    <row r="429" spans="1:10" x14ac:dyDescent="0.25">
      <c r="A429" t="s">
        <v>112</v>
      </c>
      <c r="B429" t="s">
        <v>40</v>
      </c>
      <c r="C429">
        <v>4</v>
      </c>
      <c r="D429">
        <v>12</v>
      </c>
      <c r="E429">
        <v>15</v>
      </c>
      <c r="F429">
        <v>1</v>
      </c>
      <c r="G429" t="s">
        <v>20</v>
      </c>
      <c r="H429" t="s">
        <v>13</v>
      </c>
      <c r="I429" t="s">
        <v>113</v>
      </c>
      <c r="J429" t="s">
        <v>58</v>
      </c>
    </row>
    <row r="430" spans="1:10" x14ac:dyDescent="0.25">
      <c r="A430" t="s">
        <v>112</v>
      </c>
      <c r="B430" t="s">
        <v>41</v>
      </c>
      <c r="D430">
        <v>10</v>
      </c>
      <c r="E430">
        <v>15</v>
      </c>
      <c r="F430">
        <v>0</v>
      </c>
      <c r="G430" t="s">
        <v>116</v>
      </c>
      <c r="H430" t="s">
        <v>13</v>
      </c>
      <c r="I430" t="s">
        <v>113</v>
      </c>
      <c r="J430" t="s">
        <v>58</v>
      </c>
    </row>
    <row r="431" spans="1:10" x14ac:dyDescent="0.25">
      <c r="A431" t="s">
        <v>112</v>
      </c>
      <c r="B431" t="s">
        <v>42</v>
      </c>
      <c r="C431">
        <v>4</v>
      </c>
      <c r="D431">
        <v>15</v>
      </c>
      <c r="E431">
        <v>15</v>
      </c>
      <c r="F431">
        <v>2</v>
      </c>
      <c r="G431" t="s">
        <v>18</v>
      </c>
      <c r="H431" t="s">
        <v>13</v>
      </c>
      <c r="I431" t="s">
        <v>113</v>
      </c>
      <c r="J431" t="s">
        <v>58</v>
      </c>
    </row>
    <row r="432" spans="1:10" x14ac:dyDescent="0.25">
      <c r="A432" t="s">
        <v>112</v>
      </c>
      <c r="B432" t="s">
        <v>16</v>
      </c>
      <c r="F432">
        <v>0</v>
      </c>
      <c r="H432" t="s">
        <v>13</v>
      </c>
      <c r="I432" t="s">
        <v>113</v>
      </c>
      <c r="J432" t="s">
        <v>58</v>
      </c>
    </row>
    <row r="433" spans="1:10" x14ac:dyDescent="0.25">
      <c r="A433" t="s">
        <v>112</v>
      </c>
      <c r="B433" t="s">
        <v>43</v>
      </c>
      <c r="C433">
        <v>4</v>
      </c>
      <c r="D433">
        <v>15</v>
      </c>
      <c r="E433">
        <v>15</v>
      </c>
      <c r="F433">
        <v>2</v>
      </c>
      <c r="G433" t="s">
        <v>48</v>
      </c>
      <c r="H433" t="s">
        <v>13</v>
      </c>
      <c r="I433" t="s">
        <v>113</v>
      </c>
      <c r="J433" t="s">
        <v>58</v>
      </c>
    </row>
    <row r="434" spans="1:10" x14ac:dyDescent="0.25">
      <c r="A434" t="s">
        <v>117</v>
      </c>
      <c r="B434" t="s">
        <v>11</v>
      </c>
      <c r="C434">
        <v>4</v>
      </c>
      <c r="D434">
        <v>4</v>
      </c>
      <c r="E434">
        <v>6</v>
      </c>
      <c r="F434">
        <v>1</v>
      </c>
      <c r="G434" t="s">
        <v>47</v>
      </c>
      <c r="H434" t="s">
        <v>13</v>
      </c>
      <c r="I434" t="s">
        <v>118</v>
      </c>
      <c r="J434" t="s">
        <v>15</v>
      </c>
    </row>
    <row r="435" spans="1:10" x14ac:dyDescent="0.25">
      <c r="A435" t="s">
        <v>117</v>
      </c>
      <c r="B435" t="s">
        <v>16</v>
      </c>
      <c r="F435">
        <v>0</v>
      </c>
      <c r="H435" t="s">
        <v>13</v>
      </c>
      <c r="I435" t="s">
        <v>118</v>
      </c>
      <c r="J435" t="s">
        <v>15</v>
      </c>
    </row>
    <row r="436" spans="1:10" x14ac:dyDescent="0.25">
      <c r="A436" t="s">
        <v>117</v>
      </c>
      <c r="B436" t="s">
        <v>17</v>
      </c>
      <c r="C436">
        <v>5</v>
      </c>
      <c r="D436">
        <v>6</v>
      </c>
      <c r="E436">
        <v>6</v>
      </c>
      <c r="F436">
        <v>3</v>
      </c>
      <c r="G436" t="s">
        <v>12</v>
      </c>
      <c r="H436" t="s">
        <v>13</v>
      </c>
      <c r="I436" t="s">
        <v>118</v>
      </c>
      <c r="J436" t="s">
        <v>15</v>
      </c>
    </row>
    <row r="437" spans="1:10" x14ac:dyDescent="0.25">
      <c r="A437" t="s">
        <v>117</v>
      </c>
      <c r="B437" t="s">
        <v>19</v>
      </c>
      <c r="C437">
        <v>5</v>
      </c>
      <c r="D437">
        <v>6</v>
      </c>
      <c r="E437">
        <v>6</v>
      </c>
      <c r="F437">
        <v>4</v>
      </c>
      <c r="G437" t="s">
        <v>20</v>
      </c>
      <c r="H437" t="s">
        <v>13</v>
      </c>
      <c r="I437" t="s">
        <v>118</v>
      </c>
      <c r="J437" t="s">
        <v>15</v>
      </c>
    </row>
    <row r="438" spans="1:10" x14ac:dyDescent="0.25">
      <c r="A438" t="s">
        <v>117</v>
      </c>
      <c r="B438" t="s">
        <v>21</v>
      </c>
      <c r="C438">
        <v>4</v>
      </c>
      <c r="D438">
        <v>3</v>
      </c>
      <c r="E438">
        <v>6</v>
      </c>
      <c r="F438">
        <v>1</v>
      </c>
      <c r="G438" t="s">
        <v>47</v>
      </c>
      <c r="H438" t="s">
        <v>13</v>
      </c>
      <c r="I438" t="s">
        <v>118</v>
      </c>
      <c r="J438" t="s">
        <v>15</v>
      </c>
    </row>
    <row r="439" spans="1:10" x14ac:dyDescent="0.25">
      <c r="A439" t="s">
        <v>117</v>
      </c>
      <c r="B439" t="s">
        <v>16</v>
      </c>
      <c r="F439">
        <v>0</v>
      </c>
      <c r="H439" t="s">
        <v>13</v>
      </c>
      <c r="I439" t="s">
        <v>118</v>
      </c>
      <c r="J439" t="s">
        <v>15</v>
      </c>
    </row>
    <row r="440" spans="1:10" x14ac:dyDescent="0.25">
      <c r="A440" t="s">
        <v>117</v>
      </c>
      <c r="B440" t="s">
        <v>23</v>
      </c>
      <c r="C440">
        <v>4</v>
      </c>
      <c r="D440">
        <v>5</v>
      </c>
      <c r="E440">
        <v>6</v>
      </c>
      <c r="F440">
        <v>2</v>
      </c>
      <c r="G440" t="s">
        <v>25</v>
      </c>
      <c r="H440" t="s">
        <v>13</v>
      </c>
      <c r="I440" t="s">
        <v>118</v>
      </c>
      <c r="J440" t="s">
        <v>15</v>
      </c>
    </row>
    <row r="441" spans="1:10" x14ac:dyDescent="0.25">
      <c r="A441" t="s">
        <v>117</v>
      </c>
      <c r="B441" t="s">
        <v>24</v>
      </c>
      <c r="C441">
        <v>4</v>
      </c>
      <c r="D441">
        <v>4</v>
      </c>
      <c r="E441">
        <v>6</v>
      </c>
      <c r="F441">
        <v>1</v>
      </c>
      <c r="G441" t="s">
        <v>47</v>
      </c>
      <c r="H441" t="s">
        <v>13</v>
      </c>
      <c r="I441" t="s">
        <v>118</v>
      </c>
      <c r="J441" t="s">
        <v>15</v>
      </c>
    </row>
    <row r="442" spans="1:10" x14ac:dyDescent="0.25">
      <c r="A442" t="s">
        <v>117</v>
      </c>
      <c r="B442" t="s">
        <v>26</v>
      </c>
      <c r="F442">
        <v>0</v>
      </c>
      <c r="H442" t="s">
        <v>13</v>
      </c>
      <c r="I442" t="s">
        <v>118</v>
      </c>
      <c r="J442" t="s">
        <v>15</v>
      </c>
    </row>
    <row r="443" spans="1:10" x14ac:dyDescent="0.25">
      <c r="A443" t="s">
        <v>117</v>
      </c>
      <c r="B443" t="s">
        <v>27</v>
      </c>
      <c r="C443">
        <v>4</v>
      </c>
      <c r="D443">
        <v>5</v>
      </c>
      <c r="E443">
        <v>6</v>
      </c>
      <c r="F443">
        <v>1</v>
      </c>
      <c r="G443" t="s">
        <v>47</v>
      </c>
      <c r="H443" t="s">
        <v>13</v>
      </c>
      <c r="I443" t="s">
        <v>118</v>
      </c>
      <c r="J443" t="s">
        <v>15</v>
      </c>
    </row>
    <row r="444" spans="1:10" x14ac:dyDescent="0.25">
      <c r="A444" t="s">
        <v>117</v>
      </c>
      <c r="B444" t="s">
        <v>28</v>
      </c>
      <c r="C444">
        <v>5</v>
      </c>
      <c r="D444">
        <v>6</v>
      </c>
      <c r="E444">
        <v>6</v>
      </c>
      <c r="F444">
        <v>4</v>
      </c>
      <c r="G444" t="s">
        <v>20</v>
      </c>
      <c r="H444" t="s">
        <v>13</v>
      </c>
      <c r="I444" t="s">
        <v>118</v>
      </c>
      <c r="J444" t="s">
        <v>15</v>
      </c>
    </row>
    <row r="445" spans="1:10" x14ac:dyDescent="0.25">
      <c r="A445" t="s">
        <v>117</v>
      </c>
      <c r="B445" t="s">
        <v>30</v>
      </c>
      <c r="C445">
        <v>4</v>
      </c>
      <c r="D445">
        <v>6</v>
      </c>
      <c r="E445">
        <v>6</v>
      </c>
      <c r="F445">
        <v>1</v>
      </c>
      <c r="G445" t="s">
        <v>47</v>
      </c>
      <c r="H445" t="s">
        <v>13</v>
      </c>
      <c r="I445" t="s">
        <v>118</v>
      </c>
      <c r="J445" t="s">
        <v>15</v>
      </c>
    </row>
    <row r="446" spans="1:10" x14ac:dyDescent="0.25">
      <c r="A446" t="s">
        <v>117</v>
      </c>
      <c r="B446" t="s">
        <v>31</v>
      </c>
      <c r="C446">
        <v>4</v>
      </c>
      <c r="D446">
        <v>4</v>
      </c>
      <c r="E446">
        <v>6</v>
      </c>
      <c r="F446">
        <v>1</v>
      </c>
      <c r="G446" t="s">
        <v>47</v>
      </c>
      <c r="H446" t="s">
        <v>13</v>
      </c>
      <c r="I446" t="s">
        <v>118</v>
      </c>
      <c r="J446" t="s">
        <v>15</v>
      </c>
    </row>
    <row r="447" spans="1:10" x14ac:dyDescent="0.25">
      <c r="A447" t="s">
        <v>117</v>
      </c>
      <c r="B447" t="s">
        <v>32</v>
      </c>
      <c r="F447">
        <v>0</v>
      </c>
      <c r="H447" t="s">
        <v>13</v>
      </c>
      <c r="I447" t="s">
        <v>118</v>
      </c>
      <c r="J447" t="s">
        <v>15</v>
      </c>
    </row>
    <row r="448" spans="1:10" x14ac:dyDescent="0.25">
      <c r="A448" t="s">
        <v>117</v>
      </c>
      <c r="B448" t="s">
        <v>33</v>
      </c>
      <c r="F448">
        <v>0</v>
      </c>
      <c r="H448" t="s">
        <v>13</v>
      </c>
      <c r="I448" t="s">
        <v>118</v>
      </c>
      <c r="J448" t="s">
        <v>15</v>
      </c>
    </row>
    <row r="449" spans="1:10" x14ac:dyDescent="0.25">
      <c r="A449" t="s">
        <v>117</v>
      </c>
      <c r="B449" t="s">
        <v>34</v>
      </c>
      <c r="F449">
        <v>0</v>
      </c>
      <c r="H449" t="s">
        <v>13</v>
      </c>
      <c r="I449" t="s">
        <v>118</v>
      </c>
      <c r="J449" t="s">
        <v>15</v>
      </c>
    </row>
    <row r="450" spans="1:10" x14ac:dyDescent="0.25">
      <c r="A450" t="s">
        <v>117</v>
      </c>
      <c r="B450" t="s">
        <v>35</v>
      </c>
      <c r="C450">
        <v>4</v>
      </c>
      <c r="D450">
        <v>5</v>
      </c>
      <c r="E450">
        <v>6</v>
      </c>
      <c r="F450">
        <v>2</v>
      </c>
      <c r="G450" t="s">
        <v>18</v>
      </c>
      <c r="H450" t="s">
        <v>13</v>
      </c>
      <c r="I450" t="s">
        <v>118</v>
      </c>
      <c r="J450" t="s">
        <v>15</v>
      </c>
    </row>
    <row r="451" spans="1:10" x14ac:dyDescent="0.25">
      <c r="A451" t="s">
        <v>117</v>
      </c>
      <c r="B451" t="s">
        <v>36</v>
      </c>
      <c r="C451">
        <v>5</v>
      </c>
      <c r="D451">
        <v>4</v>
      </c>
      <c r="E451">
        <v>6</v>
      </c>
      <c r="F451">
        <v>3</v>
      </c>
      <c r="G451" t="s">
        <v>12</v>
      </c>
      <c r="H451" t="s">
        <v>13</v>
      </c>
      <c r="I451" t="s">
        <v>118</v>
      </c>
      <c r="J451" t="s">
        <v>15</v>
      </c>
    </row>
    <row r="452" spans="1:10" x14ac:dyDescent="0.25">
      <c r="A452" t="s">
        <v>117</v>
      </c>
      <c r="B452" t="s">
        <v>37</v>
      </c>
      <c r="C452">
        <v>4</v>
      </c>
      <c r="D452">
        <v>6</v>
      </c>
      <c r="E452">
        <v>6</v>
      </c>
      <c r="F452">
        <v>1</v>
      </c>
      <c r="G452" t="s">
        <v>47</v>
      </c>
      <c r="H452" t="s">
        <v>13</v>
      </c>
      <c r="I452" t="s">
        <v>118</v>
      </c>
      <c r="J452" t="s">
        <v>15</v>
      </c>
    </row>
    <row r="453" spans="1:10" x14ac:dyDescent="0.25">
      <c r="A453" t="s">
        <v>117</v>
      </c>
      <c r="B453" t="s">
        <v>16</v>
      </c>
      <c r="F453">
        <v>0</v>
      </c>
      <c r="H453" t="s">
        <v>13</v>
      </c>
      <c r="I453" t="s">
        <v>118</v>
      </c>
      <c r="J453" t="s">
        <v>15</v>
      </c>
    </row>
    <row r="454" spans="1:10" x14ac:dyDescent="0.25">
      <c r="A454" t="s">
        <v>117</v>
      </c>
      <c r="B454" t="s">
        <v>38</v>
      </c>
      <c r="C454">
        <v>5</v>
      </c>
      <c r="D454">
        <v>6</v>
      </c>
      <c r="E454">
        <v>6</v>
      </c>
      <c r="F454">
        <v>3</v>
      </c>
      <c r="G454" t="s">
        <v>12</v>
      </c>
      <c r="H454" t="s">
        <v>13</v>
      </c>
      <c r="I454" t="s">
        <v>118</v>
      </c>
      <c r="J454" t="s">
        <v>15</v>
      </c>
    </row>
    <row r="455" spans="1:10" x14ac:dyDescent="0.25">
      <c r="A455" t="s">
        <v>117</v>
      </c>
      <c r="B455" t="s">
        <v>16</v>
      </c>
      <c r="F455">
        <v>0</v>
      </c>
      <c r="H455" t="s">
        <v>13</v>
      </c>
      <c r="I455" t="s">
        <v>118</v>
      </c>
      <c r="J455" t="s">
        <v>15</v>
      </c>
    </row>
    <row r="456" spans="1:10" x14ac:dyDescent="0.25">
      <c r="A456" t="s">
        <v>117</v>
      </c>
      <c r="B456" t="s">
        <v>40</v>
      </c>
      <c r="C456">
        <v>4</v>
      </c>
      <c r="D456">
        <v>6</v>
      </c>
      <c r="E456">
        <v>6</v>
      </c>
      <c r="F456">
        <v>1</v>
      </c>
      <c r="G456" t="s">
        <v>47</v>
      </c>
      <c r="H456" t="s">
        <v>13</v>
      </c>
      <c r="I456" t="s">
        <v>118</v>
      </c>
      <c r="J456" t="s">
        <v>15</v>
      </c>
    </row>
    <row r="457" spans="1:10" x14ac:dyDescent="0.25">
      <c r="A457" t="s">
        <v>117</v>
      </c>
      <c r="B457" t="s">
        <v>41</v>
      </c>
      <c r="C457">
        <v>4</v>
      </c>
      <c r="D457">
        <v>5</v>
      </c>
      <c r="E457">
        <v>6</v>
      </c>
      <c r="F457">
        <v>1</v>
      </c>
      <c r="G457" t="s">
        <v>47</v>
      </c>
      <c r="H457" t="s">
        <v>13</v>
      </c>
      <c r="I457" t="s">
        <v>118</v>
      </c>
      <c r="J457" t="s">
        <v>15</v>
      </c>
    </row>
    <row r="458" spans="1:10" x14ac:dyDescent="0.25">
      <c r="A458" t="s">
        <v>117</v>
      </c>
      <c r="B458" t="s">
        <v>42</v>
      </c>
      <c r="C458">
        <v>4</v>
      </c>
      <c r="D458">
        <v>6</v>
      </c>
      <c r="E458">
        <v>6</v>
      </c>
      <c r="F458">
        <v>1</v>
      </c>
      <c r="G458" t="s">
        <v>47</v>
      </c>
      <c r="H458" t="s">
        <v>13</v>
      </c>
      <c r="I458" t="s">
        <v>118</v>
      </c>
      <c r="J458" t="s">
        <v>15</v>
      </c>
    </row>
    <row r="459" spans="1:10" x14ac:dyDescent="0.25">
      <c r="A459" t="s">
        <v>117</v>
      </c>
      <c r="B459" t="s">
        <v>16</v>
      </c>
      <c r="F459">
        <v>0</v>
      </c>
      <c r="H459" t="s">
        <v>13</v>
      </c>
      <c r="I459" t="s">
        <v>118</v>
      </c>
      <c r="J459" t="s">
        <v>15</v>
      </c>
    </row>
    <row r="460" spans="1:10" x14ac:dyDescent="0.25">
      <c r="A460" t="s">
        <v>117</v>
      </c>
      <c r="B460" t="s">
        <v>43</v>
      </c>
      <c r="C460">
        <v>4</v>
      </c>
      <c r="D460">
        <v>5</v>
      </c>
      <c r="E460">
        <v>6</v>
      </c>
      <c r="F460">
        <v>2</v>
      </c>
      <c r="G460" t="s">
        <v>20</v>
      </c>
      <c r="H460" t="s">
        <v>13</v>
      </c>
      <c r="I460" t="s">
        <v>118</v>
      </c>
      <c r="J460" t="s">
        <v>15</v>
      </c>
    </row>
    <row r="461" spans="1:10" x14ac:dyDescent="0.25">
      <c r="A461" t="s">
        <v>119</v>
      </c>
      <c r="B461" t="s">
        <v>11</v>
      </c>
      <c r="C461">
        <v>5</v>
      </c>
      <c r="D461">
        <v>4</v>
      </c>
      <c r="E461">
        <v>5</v>
      </c>
      <c r="F461">
        <v>2</v>
      </c>
      <c r="G461" t="s">
        <v>12</v>
      </c>
      <c r="H461" t="s">
        <v>13</v>
      </c>
      <c r="I461" t="s">
        <v>120</v>
      </c>
      <c r="J461" t="s">
        <v>15</v>
      </c>
    </row>
    <row r="462" spans="1:10" x14ac:dyDescent="0.25">
      <c r="A462" t="s">
        <v>119</v>
      </c>
      <c r="B462" t="s">
        <v>16</v>
      </c>
      <c r="F462">
        <v>0</v>
      </c>
      <c r="H462" t="s">
        <v>13</v>
      </c>
      <c r="I462" t="s">
        <v>120</v>
      </c>
      <c r="J462" t="s">
        <v>15</v>
      </c>
    </row>
    <row r="463" spans="1:10" x14ac:dyDescent="0.25">
      <c r="A463" t="s">
        <v>119</v>
      </c>
      <c r="B463" t="s">
        <v>17</v>
      </c>
      <c r="C463">
        <v>4</v>
      </c>
      <c r="D463">
        <v>4</v>
      </c>
      <c r="E463">
        <v>5</v>
      </c>
      <c r="F463">
        <v>3</v>
      </c>
      <c r="G463" t="s">
        <v>22</v>
      </c>
      <c r="H463" t="s">
        <v>13</v>
      </c>
      <c r="I463" t="s">
        <v>120</v>
      </c>
      <c r="J463" t="s">
        <v>15</v>
      </c>
    </row>
    <row r="464" spans="1:10" x14ac:dyDescent="0.25">
      <c r="A464" t="s">
        <v>119</v>
      </c>
      <c r="B464" t="s">
        <v>19</v>
      </c>
      <c r="C464">
        <v>4</v>
      </c>
      <c r="D464">
        <v>5</v>
      </c>
      <c r="E464">
        <v>5</v>
      </c>
      <c r="F464">
        <v>3</v>
      </c>
      <c r="G464" t="s">
        <v>50</v>
      </c>
      <c r="H464" t="s">
        <v>13</v>
      </c>
      <c r="I464" t="s">
        <v>120</v>
      </c>
      <c r="J464" t="s">
        <v>15</v>
      </c>
    </row>
    <row r="465" spans="1:10" x14ac:dyDescent="0.25">
      <c r="A465" t="s">
        <v>119</v>
      </c>
      <c r="B465" t="s">
        <v>21</v>
      </c>
      <c r="C465">
        <v>4</v>
      </c>
      <c r="D465">
        <v>2</v>
      </c>
      <c r="E465">
        <v>5</v>
      </c>
      <c r="F465">
        <v>1</v>
      </c>
      <c r="G465" t="s">
        <v>25</v>
      </c>
      <c r="H465" t="s">
        <v>13</v>
      </c>
      <c r="I465" t="s">
        <v>120</v>
      </c>
      <c r="J465" t="s">
        <v>15</v>
      </c>
    </row>
    <row r="466" spans="1:10" x14ac:dyDescent="0.25">
      <c r="A466" t="s">
        <v>119</v>
      </c>
      <c r="B466" t="s">
        <v>16</v>
      </c>
      <c r="F466">
        <v>0</v>
      </c>
      <c r="H466" t="s">
        <v>13</v>
      </c>
      <c r="I466" t="s">
        <v>120</v>
      </c>
      <c r="J466" t="s">
        <v>15</v>
      </c>
    </row>
    <row r="467" spans="1:10" x14ac:dyDescent="0.25">
      <c r="A467" t="s">
        <v>119</v>
      </c>
      <c r="B467" t="s">
        <v>23</v>
      </c>
      <c r="C467">
        <v>5</v>
      </c>
      <c r="D467">
        <v>4</v>
      </c>
      <c r="E467">
        <v>5</v>
      </c>
      <c r="F467">
        <v>1</v>
      </c>
      <c r="G467" t="s">
        <v>12</v>
      </c>
      <c r="H467" t="s">
        <v>13</v>
      </c>
      <c r="I467" t="s">
        <v>120</v>
      </c>
      <c r="J467" t="s">
        <v>15</v>
      </c>
    </row>
    <row r="468" spans="1:10" x14ac:dyDescent="0.25">
      <c r="A468" t="s">
        <v>119</v>
      </c>
      <c r="B468" t="s">
        <v>24</v>
      </c>
      <c r="C468">
        <v>4</v>
      </c>
      <c r="D468">
        <v>5</v>
      </c>
      <c r="E468">
        <v>5</v>
      </c>
      <c r="F468">
        <v>1</v>
      </c>
      <c r="G468" t="s">
        <v>25</v>
      </c>
      <c r="H468" t="s">
        <v>13</v>
      </c>
      <c r="I468" t="s">
        <v>120</v>
      </c>
      <c r="J468" t="s">
        <v>15</v>
      </c>
    </row>
    <row r="469" spans="1:10" x14ac:dyDescent="0.25">
      <c r="A469" t="s">
        <v>119</v>
      </c>
      <c r="B469" t="s">
        <v>26</v>
      </c>
      <c r="F469">
        <v>0</v>
      </c>
      <c r="H469" t="s">
        <v>13</v>
      </c>
      <c r="I469" t="s">
        <v>120</v>
      </c>
      <c r="J469" t="s">
        <v>15</v>
      </c>
    </row>
    <row r="470" spans="1:10" x14ac:dyDescent="0.25">
      <c r="A470" t="s">
        <v>119</v>
      </c>
      <c r="B470" t="s">
        <v>27</v>
      </c>
      <c r="C470">
        <v>4</v>
      </c>
      <c r="D470">
        <v>2</v>
      </c>
      <c r="E470">
        <v>5</v>
      </c>
      <c r="F470">
        <v>1</v>
      </c>
      <c r="G470" t="s">
        <v>25</v>
      </c>
      <c r="H470" t="s">
        <v>13</v>
      </c>
      <c r="I470" t="s">
        <v>120</v>
      </c>
      <c r="J470" t="s">
        <v>15</v>
      </c>
    </row>
    <row r="471" spans="1:10" x14ac:dyDescent="0.25">
      <c r="A471" t="s">
        <v>119</v>
      </c>
      <c r="B471" t="s">
        <v>28</v>
      </c>
      <c r="C471">
        <v>3</v>
      </c>
      <c r="D471">
        <v>5</v>
      </c>
      <c r="E471">
        <v>5</v>
      </c>
      <c r="F471">
        <v>1</v>
      </c>
      <c r="G471" t="s">
        <v>18</v>
      </c>
      <c r="H471" t="s">
        <v>13</v>
      </c>
      <c r="I471" t="s">
        <v>120</v>
      </c>
      <c r="J471" t="s">
        <v>15</v>
      </c>
    </row>
    <row r="472" spans="1:10" x14ac:dyDescent="0.25">
      <c r="A472" t="s">
        <v>119</v>
      </c>
      <c r="B472" t="s">
        <v>30</v>
      </c>
      <c r="C472">
        <v>4</v>
      </c>
      <c r="D472">
        <v>4</v>
      </c>
      <c r="E472">
        <v>5</v>
      </c>
      <c r="F472">
        <v>2</v>
      </c>
      <c r="G472" t="s">
        <v>20</v>
      </c>
      <c r="H472" t="s">
        <v>13</v>
      </c>
      <c r="I472" t="s">
        <v>120</v>
      </c>
      <c r="J472" t="s">
        <v>15</v>
      </c>
    </row>
    <row r="473" spans="1:10" x14ac:dyDescent="0.25">
      <c r="A473" t="s">
        <v>119</v>
      </c>
      <c r="B473" t="s">
        <v>31</v>
      </c>
      <c r="C473">
        <v>4</v>
      </c>
      <c r="D473">
        <v>3</v>
      </c>
      <c r="E473">
        <v>5</v>
      </c>
      <c r="F473">
        <v>1</v>
      </c>
      <c r="G473" t="s">
        <v>25</v>
      </c>
      <c r="H473" t="s">
        <v>13</v>
      </c>
      <c r="I473" t="s">
        <v>120</v>
      </c>
      <c r="J473" t="s">
        <v>15</v>
      </c>
    </row>
    <row r="474" spans="1:10" x14ac:dyDescent="0.25">
      <c r="A474" t="s">
        <v>119</v>
      </c>
      <c r="B474" t="s">
        <v>32</v>
      </c>
      <c r="F474">
        <v>0</v>
      </c>
      <c r="H474" t="s">
        <v>13</v>
      </c>
      <c r="I474" t="s">
        <v>120</v>
      </c>
      <c r="J474" t="s">
        <v>15</v>
      </c>
    </row>
    <row r="475" spans="1:10" x14ac:dyDescent="0.25">
      <c r="A475" t="s">
        <v>119</v>
      </c>
      <c r="B475" t="s">
        <v>33</v>
      </c>
      <c r="F475">
        <v>0</v>
      </c>
      <c r="H475" t="s">
        <v>13</v>
      </c>
      <c r="I475" t="s">
        <v>120</v>
      </c>
      <c r="J475" t="s">
        <v>15</v>
      </c>
    </row>
    <row r="476" spans="1:10" x14ac:dyDescent="0.25">
      <c r="A476" t="s">
        <v>119</v>
      </c>
      <c r="B476" t="s">
        <v>34</v>
      </c>
      <c r="F476">
        <v>0</v>
      </c>
      <c r="H476" t="s">
        <v>13</v>
      </c>
      <c r="I476" t="s">
        <v>120</v>
      </c>
      <c r="J476" t="s">
        <v>15</v>
      </c>
    </row>
    <row r="477" spans="1:10" x14ac:dyDescent="0.25">
      <c r="A477" t="s">
        <v>119</v>
      </c>
      <c r="B477" t="s">
        <v>35</v>
      </c>
      <c r="C477">
        <v>5</v>
      </c>
      <c r="D477">
        <v>4</v>
      </c>
      <c r="E477">
        <v>5</v>
      </c>
      <c r="F477">
        <v>3</v>
      </c>
      <c r="G477" t="s">
        <v>12</v>
      </c>
      <c r="H477" t="s">
        <v>13</v>
      </c>
      <c r="I477" t="s">
        <v>120</v>
      </c>
      <c r="J477" t="s">
        <v>15</v>
      </c>
    </row>
    <row r="478" spans="1:10" x14ac:dyDescent="0.25">
      <c r="A478" t="s">
        <v>119</v>
      </c>
      <c r="B478" t="s">
        <v>36</v>
      </c>
      <c r="F478">
        <v>1</v>
      </c>
      <c r="G478" t="s">
        <v>20</v>
      </c>
      <c r="H478" t="s">
        <v>13</v>
      </c>
      <c r="I478" t="s">
        <v>120</v>
      </c>
      <c r="J478" t="s">
        <v>15</v>
      </c>
    </row>
    <row r="479" spans="1:10" x14ac:dyDescent="0.25">
      <c r="A479" t="s">
        <v>119</v>
      </c>
      <c r="B479" t="s">
        <v>37</v>
      </c>
      <c r="C479">
        <v>5</v>
      </c>
      <c r="D479">
        <v>5</v>
      </c>
      <c r="E479">
        <v>5</v>
      </c>
      <c r="F479">
        <v>2</v>
      </c>
      <c r="G479" t="s">
        <v>12</v>
      </c>
      <c r="H479" t="s">
        <v>13</v>
      </c>
      <c r="I479" t="s">
        <v>120</v>
      </c>
      <c r="J479" t="s">
        <v>15</v>
      </c>
    </row>
    <row r="480" spans="1:10" x14ac:dyDescent="0.25">
      <c r="A480" t="s">
        <v>119</v>
      </c>
      <c r="B480" t="s">
        <v>16</v>
      </c>
      <c r="F480">
        <v>0</v>
      </c>
      <c r="H480" t="s">
        <v>13</v>
      </c>
      <c r="I480" t="s">
        <v>120</v>
      </c>
      <c r="J480" t="s">
        <v>15</v>
      </c>
    </row>
    <row r="481" spans="1:10" x14ac:dyDescent="0.25">
      <c r="A481" t="s">
        <v>119</v>
      </c>
      <c r="B481" t="s">
        <v>38</v>
      </c>
      <c r="C481">
        <v>5</v>
      </c>
      <c r="D481">
        <v>5</v>
      </c>
      <c r="E481">
        <v>5</v>
      </c>
      <c r="F481">
        <v>11</v>
      </c>
      <c r="G481" t="s">
        <v>59</v>
      </c>
      <c r="H481" t="s">
        <v>13</v>
      </c>
      <c r="I481" t="s">
        <v>120</v>
      </c>
      <c r="J481" t="s">
        <v>15</v>
      </c>
    </row>
    <row r="482" spans="1:10" x14ac:dyDescent="0.25">
      <c r="A482" t="s">
        <v>119</v>
      </c>
      <c r="B482" t="s">
        <v>16</v>
      </c>
      <c r="F482">
        <v>0</v>
      </c>
      <c r="H482" t="s">
        <v>13</v>
      </c>
      <c r="I482" t="s">
        <v>120</v>
      </c>
      <c r="J482" t="s">
        <v>15</v>
      </c>
    </row>
    <row r="483" spans="1:10" x14ac:dyDescent="0.25">
      <c r="A483" t="s">
        <v>119</v>
      </c>
      <c r="B483" t="s">
        <v>40</v>
      </c>
      <c r="C483">
        <v>4</v>
      </c>
      <c r="D483">
        <v>4</v>
      </c>
      <c r="E483">
        <v>5</v>
      </c>
      <c r="F483">
        <v>1</v>
      </c>
      <c r="G483" t="s">
        <v>25</v>
      </c>
      <c r="H483" t="s">
        <v>13</v>
      </c>
      <c r="I483" t="s">
        <v>120</v>
      </c>
      <c r="J483" t="s">
        <v>15</v>
      </c>
    </row>
    <row r="484" spans="1:10" x14ac:dyDescent="0.25">
      <c r="A484" t="s">
        <v>119</v>
      </c>
      <c r="B484" t="s">
        <v>41</v>
      </c>
      <c r="C484">
        <v>4</v>
      </c>
      <c r="D484">
        <v>3</v>
      </c>
      <c r="E484">
        <v>5</v>
      </c>
      <c r="F484">
        <v>1</v>
      </c>
      <c r="G484" t="s">
        <v>25</v>
      </c>
      <c r="H484" t="s">
        <v>13</v>
      </c>
      <c r="I484" t="s">
        <v>120</v>
      </c>
      <c r="J484" t="s">
        <v>15</v>
      </c>
    </row>
    <row r="485" spans="1:10" x14ac:dyDescent="0.25">
      <c r="A485" t="s">
        <v>119</v>
      </c>
      <c r="B485" t="s">
        <v>42</v>
      </c>
      <c r="C485">
        <v>5</v>
      </c>
      <c r="D485">
        <v>5</v>
      </c>
      <c r="E485">
        <v>5</v>
      </c>
      <c r="F485">
        <v>4</v>
      </c>
      <c r="G485" t="s">
        <v>121</v>
      </c>
      <c r="H485" t="s">
        <v>13</v>
      </c>
      <c r="I485" t="s">
        <v>120</v>
      </c>
      <c r="J485" t="s">
        <v>15</v>
      </c>
    </row>
    <row r="486" spans="1:10" x14ac:dyDescent="0.25">
      <c r="A486" t="s">
        <v>119</v>
      </c>
      <c r="B486" t="s">
        <v>16</v>
      </c>
      <c r="F486">
        <v>0</v>
      </c>
      <c r="H486" t="s">
        <v>13</v>
      </c>
      <c r="I486" t="s">
        <v>120</v>
      </c>
      <c r="J486" t="s">
        <v>15</v>
      </c>
    </row>
    <row r="487" spans="1:10" x14ac:dyDescent="0.25">
      <c r="A487" t="s">
        <v>119</v>
      </c>
      <c r="B487" t="s">
        <v>43</v>
      </c>
      <c r="C487">
        <v>5</v>
      </c>
      <c r="D487">
        <v>5</v>
      </c>
      <c r="E487">
        <v>5</v>
      </c>
      <c r="F487">
        <v>3</v>
      </c>
      <c r="G487" t="s">
        <v>18</v>
      </c>
      <c r="H487" t="s">
        <v>13</v>
      </c>
      <c r="I487" t="s">
        <v>120</v>
      </c>
      <c r="J487" t="s">
        <v>15</v>
      </c>
    </row>
    <row r="488" spans="1:10" x14ac:dyDescent="0.25">
      <c r="A488" t="s">
        <v>122</v>
      </c>
      <c r="B488" t="s">
        <v>11</v>
      </c>
      <c r="C488">
        <v>4</v>
      </c>
      <c r="D488">
        <v>5</v>
      </c>
      <c r="E488">
        <v>5</v>
      </c>
      <c r="F488">
        <v>2</v>
      </c>
      <c r="G488" t="s">
        <v>25</v>
      </c>
      <c r="H488" t="s">
        <v>13</v>
      </c>
      <c r="I488" t="s">
        <v>123</v>
      </c>
      <c r="J488" t="s">
        <v>15</v>
      </c>
    </row>
    <row r="489" spans="1:10" x14ac:dyDescent="0.25">
      <c r="A489" t="s">
        <v>122</v>
      </c>
      <c r="B489" t="s">
        <v>16</v>
      </c>
      <c r="F489">
        <v>0</v>
      </c>
      <c r="H489" t="s">
        <v>13</v>
      </c>
      <c r="I489" t="s">
        <v>123</v>
      </c>
      <c r="J489" t="s">
        <v>15</v>
      </c>
    </row>
    <row r="490" spans="1:10" x14ac:dyDescent="0.25">
      <c r="A490" t="s">
        <v>122</v>
      </c>
      <c r="B490" t="s">
        <v>17</v>
      </c>
      <c r="C490">
        <v>5</v>
      </c>
      <c r="D490">
        <v>4</v>
      </c>
      <c r="E490">
        <v>5</v>
      </c>
      <c r="F490">
        <v>5</v>
      </c>
      <c r="G490" t="s">
        <v>18</v>
      </c>
      <c r="H490" t="s">
        <v>13</v>
      </c>
      <c r="I490" t="s">
        <v>123</v>
      </c>
      <c r="J490" t="s">
        <v>15</v>
      </c>
    </row>
    <row r="491" spans="1:10" x14ac:dyDescent="0.25">
      <c r="A491" t="s">
        <v>122</v>
      </c>
      <c r="B491" t="s">
        <v>19</v>
      </c>
      <c r="C491">
        <v>5</v>
      </c>
      <c r="D491">
        <v>5</v>
      </c>
      <c r="E491">
        <v>5</v>
      </c>
      <c r="F491">
        <v>4</v>
      </c>
      <c r="G491" t="s">
        <v>18</v>
      </c>
      <c r="H491" t="s">
        <v>13</v>
      </c>
      <c r="I491" t="s">
        <v>123</v>
      </c>
      <c r="J491" t="s">
        <v>15</v>
      </c>
    </row>
    <row r="492" spans="1:10" x14ac:dyDescent="0.25">
      <c r="A492" t="s">
        <v>122</v>
      </c>
      <c r="B492" t="s">
        <v>21</v>
      </c>
      <c r="C492">
        <v>4</v>
      </c>
      <c r="D492">
        <v>3</v>
      </c>
      <c r="E492">
        <v>5</v>
      </c>
      <c r="F492">
        <v>1</v>
      </c>
      <c r="G492" t="s">
        <v>47</v>
      </c>
      <c r="H492" t="s">
        <v>13</v>
      </c>
      <c r="I492" t="s">
        <v>123</v>
      </c>
      <c r="J492" t="s">
        <v>15</v>
      </c>
    </row>
    <row r="493" spans="1:10" x14ac:dyDescent="0.25">
      <c r="A493" t="s">
        <v>122</v>
      </c>
      <c r="B493" t="s">
        <v>16</v>
      </c>
      <c r="F493">
        <v>0</v>
      </c>
      <c r="H493" t="s">
        <v>13</v>
      </c>
      <c r="I493" t="s">
        <v>123</v>
      </c>
      <c r="J493" t="s">
        <v>15</v>
      </c>
    </row>
    <row r="494" spans="1:10" x14ac:dyDescent="0.25">
      <c r="A494" t="s">
        <v>122</v>
      </c>
      <c r="B494" t="s">
        <v>23</v>
      </c>
      <c r="C494">
        <v>4</v>
      </c>
      <c r="D494">
        <v>5</v>
      </c>
      <c r="E494">
        <v>5</v>
      </c>
      <c r="F494">
        <v>5</v>
      </c>
      <c r="G494" t="s">
        <v>50</v>
      </c>
      <c r="H494" t="s">
        <v>13</v>
      </c>
      <c r="I494" t="s">
        <v>123</v>
      </c>
      <c r="J494" t="s">
        <v>15</v>
      </c>
    </row>
    <row r="495" spans="1:10" x14ac:dyDescent="0.25">
      <c r="A495" t="s">
        <v>122</v>
      </c>
      <c r="B495" t="s">
        <v>24</v>
      </c>
      <c r="C495">
        <v>4</v>
      </c>
      <c r="D495">
        <v>3</v>
      </c>
      <c r="E495">
        <v>5</v>
      </c>
      <c r="F495">
        <v>1</v>
      </c>
      <c r="G495" t="s">
        <v>47</v>
      </c>
      <c r="H495" t="s">
        <v>13</v>
      </c>
      <c r="I495" t="s">
        <v>123</v>
      </c>
      <c r="J495" t="s">
        <v>15</v>
      </c>
    </row>
    <row r="496" spans="1:10" x14ac:dyDescent="0.25">
      <c r="A496" t="s">
        <v>122</v>
      </c>
      <c r="B496" t="s">
        <v>26</v>
      </c>
      <c r="F496">
        <v>0</v>
      </c>
      <c r="H496" t="s">
        <v>13</v>
      </c>
      <c r="I496" t="s">
        <v>123</v>
      </c>
      <c r="J496" t="s">
        <v>15</v>
      </c>
    </row>
    <row r="497" spans="1:10" x14ac:dyDescent="0.25">
      <c r="A497" t="s">
        <v>122</v>
      </c>
      <c r="B497" t="s">
        <v>27</v>
      </c>
      <c r="C497">
        <v>4</v>
      </c>
      <c r="D497">
        <v>4</v>
      </c>
      <c r="E497">
        <v>5</v>
      </c>
      <c r="F497">
        <v>1</v>
      </c>
      <c r="G497" t="s">
        <v>47</v>
      </c>
      <c r="H497" t="s">
        <v>13</v>
      </c>
      <c r="I497" t="s">
        <v>123</v>
      </c>
      <c r="J497" t="s">
        <v>15</v>
      </c>
    </row>
    <row r="498" spans="1:10" x14ac:dyDescent="0.25">
      <c r="A498" t="s">
        <v>122</v>
      </c>
      <c r="B498" t="s">
        <v>28</v>
      </c>
      <c r="C498">
        <v>5</v>
      </c>
      <c r="D498">
        <v>3</v>
      </c>
      <c r="E498">
        <v>5</v>
      </c>
      <c r="F498">
        <v>3</v>
      </c>
      <c r="G498" t="s">
        <v>12</v>
      </c>
      <c r="H498" t="s">
        <v>13</v>
      </c>
      <c r="I498" t="s">
        <v>123</v>
      </c>
      <c r="J498" t="s">
        <v>15</v>
      </c>
    </row>
    <row r="499" spans="1:10" x14ac:dyDescent="0.25">
      <c r="A499" t="s">
        <v>122</v>
      </c>
      <c r="B499" t="s">
        <v>30</v>
      </c>
      <c r="C499">
        <v>4</v>
      </c>
      <c r="D499">
        <v>4</v>
      </c>
      <c r="E499">
        <v>5</v>
      </c>
      <c r="F499">
        <v>4</v>
      </c>
      <c r="G499" t="s">
        <v>22</v>
      </c>
      <c r="H499" t="s">
        <v>13</v>
      </c>
      <c r="I499" t="s">
        <v>123</v>
      </c>
      <c r="J499" t="s">
        <v>15</v>
      </c>
    </row>
    <row r="500" spans="1:10" x14ac:dyDescent="0.25">
      <c r="A500" t="s">
        <v>122</v>
      </c>
      <c r="B500" t="s">
        <v>31</v>
      </c>
      <c r="C500">
        <v>4</v>
      </c>
      <c r="D500">
        <v>4</v>
      </c>
      <c r="E500">
        <v>5</v>
      </c>
      <c r="F500">
        <v>1</v>
      </c>
      <c r="G500" t="s">
        <v>47</v>
      </c>
      <c r="H500" t="s">
        <v>13</v>
      </c>
      <c r="I500" t="s">
        <v>123</v>
      </c>
      <c r="J500" t="s">
        <v>15</v>
      </c>
    </row>
    <row r="501" spans="1:10" x14ac:dyDescent="0.25">
      <c r="A501" t="s">
        <v>122</v>
      </c>
      <c r="B501" t="s">
        <v>32</v>
      </c>
      <c r="F501">
        <v>0</v>
      </c>
      <c r="H501" t="s">
        <v>13</v>
      </c>
      <c r="I501" t="s">
        <v>123</v>
      </c>
      <c r="J501" t="s">
        <v>15</v>
      </c>
    </row>
    <row r="502" spans="1:10" x14ac:dyDescent="0.25">
      <c r="A502" t="s">
        <v>122</v>
      </c>
      <c r="B502" t="s">
        <v>33</v>
      </c>
      <c r="F502">
        <v>0</v>
      </c>
      <c r="H502" t="s">
        <v>13</v>
      </c>
      <c r="I502" t="s">
        <v>123</v>
      </c>
      <c r="J502" t="s">
        <v>15</v>
      </c>
    </row>
    <row r="503" spans="1:10" x14ac:dyDescent="0.25">
      <c r="A503" t="s">
        <v>122</v>
      </c>
      <c r="B503" t="s">
        <v>34</v>
      </c>
      <c r="F503">
        <v>0</v>
      </c>
      <c r="H503" t="s">
        <v>13</v>
      </c>
      <c r="I503" t="s">
        <v>123</v>
      </c>
      <c r="J503" t="s">
        <v>15</v>
      </c>
    </row>
    <row r="504" spans="1:10" x14ac:dyDescent="0.25">
      <c r="A504" t="s">
        <v>122</v>
      </c>
      <c r="B504" t="s">
        <v>35</v>
      </c>
      <c r="C504">
        <v>4</v>
      </c>
      <c r="D504">
        <v>4</v>
      </c>
      <c r="E504">
        <v>5</v>
      </c>
      <c r="F504">
        <v>1</v>
      </c>
      <c r="G504" t="s">
        <v>47</v>
      </c>
      <c r="H504" t="s">
        <v>13</v>
      </c>
      <c r="I504" t="s">
        <v>123</v>
      </c>
      <c r="J504" t="s">
        <v>15</v>
      </c>
    </row>
    <row r="505" spans="1:10" x14ac:dyDescent="0.25">
      <c r="A505" t="s">
        <v>122</v>
      </c>
      <c r="B505" t="s">
        <v>36</v>
      </c>
      <c r="C505">
        <v>4</v>
      </c>
      <c r="D505">
        <v>4</v>
      </c>
      <c r="E505">
        <v>5</v>
      </c>
      <c r="F505">
        <v>1</v>
      </c>
      <c r="G505" t="s">
        <v>47</v>
      </c>
      <c r="H505" t="s">
        <v>13</v>
      </c>
      <c r="I505" t="s">
        <v>123</v>
      </c>
      <c r="J505" t="s">
        <v>15</v>
      </c>
    </row>
    <row r="506" spans="1:10" x14ac:dyDescent="0.25">
      <c r="A506" t="s">
        <v>122</v>
      </c>
      <c r="B506" t="s">
        <v>37</v>
      </c>
      <c r="C506">
        <v>5</v>
      </c>
      <c r="D506">
        <v>5</v>
      </c>
      <c r="E506">
        <v>5</v>
      </c>
      <c r="F506">
        <v>10</v>
      </c>
      <c r="G506" t="s">
        <v>54</v>
      </c>
      <c r="H506" t="s">
        <v>13</v>
      </c>
      <c r="I506" t="s">
        <v>123</v>
      </c>
      <c r="J506" t="s">
        <v>15</v>
      </c>
    </row>
    <row r="507" spans="1:10" x14ac:dyDescent="0.25">
      <c r="A507" t="s">
        <v>122</v>
      </c>
      <c r="B507" t="s">
        <v>16</v>
      </c>
      <c r="F507">
        <v>0</v>
      </c>
      <c r="H507" t="s">
        <v>13</v>
      </c>
      <c r="I507" t="s">
        <v>123</v>
      </c>
      <c r="J507" t="s">
        <v>15</v>
      </c>
    </row>
    <row r="508" spans="1:10" x14ac:dyDescent="0.25">
      <c r="A508" t="s">
        <v>122</v>
      </c>
      <c r="B508" t="s">
        <v>38</v>
      </c>
      <c r="C508">
        <v>5</v>
      </c>
      <c r="D508">
        <v>5</v>
      </c>
      <c r="E508">
        <v>5</v>
      </c>
      <c r="F508">
        <v>3</v>
      </c>
      <c r="G508" t="s">
        <v>12</v>
      </c>
      <c r="H508" t="s">
        <v>13</v>
      </c>
      <c r="I508" t="s">
        <v>123</v>
      </c>
      <c r="J508" t="s">
        <v>15</v>
      </c>
    </row>
    <row r="509" spans="1:10" x14ac:dyDescent="0.25">
      <c r="A509" t="s">
        <v>122</v>
      </c>
      <c r="B509" t="s">
        <v>16</v>
      </c>
      <c r="F509">
        <v>0</v>
      </c>
      <c r="H509" t="s">
        <v>13</v>
      </c>
      <c r="I509" t="s">
        <v>123</v>
      </c>
      <c r="J509" t="s">
        <v>15</v>
      </c>
    </row>
    <row r="510" spans="1:10" x14ac:dyDescent="0.25">
      <c r="A510" t="s">
        <v>122</v>
      </c>
      <c r="B510" t="s">
        <v>40</v>
      </c>
      <c r="C510">
        <v>4</v>
      </c>
      <c r="D510">
        <v>5</v>
      </c>
      <c r="E510">
        <v>5</v>
      </c>
      <c r="F510">
        <v>2</v>
      </c>
      <c r="G510" t="s">
        <v>25</v>
      </c>
      <c r="H510" t="s">
        <v>13</v>
      </c>
      <c r="I510" t="s">
        <v>123</v>
      </c>
      <c r="J510" t="s">
        <v>15</v>
      </c>
    </row>
    <row r="511" spans="1:10" x14ac:dyDescent="0.25">
      <c r="A511" t="s">
        <v>122</v>
      </c>
      <c r="B511" t="s">
        <v>41</v>
      </c>
      <c r="C511">
        <v>4</v>
      </c>
      <c r="D511">
        <v>3</v>
      </c>
      <c r="E511">
        <v>5</v>
      </c>
      <c r="F511">
        <v>1</v>
      </c>
      <c r="G511" t="s">
        <v>47</v>
      </c>
      <c r="H511" t="s">
        <v>13</v>
      </c>
      <c r="I511" t="s">
        <v>123</v>
      </c>
      <c r="J511" t="s">
        <v>15</v>
      </c>
    </row>
    <row r="512" spans="1:10" x14ac:dyDescent="0.25">
      <c r="A512" t="s">
        <v>122</v>
      </c>
      <c r="B512" t="s">
        <v>42</v>
      </c>
      <c r="C512">
        <v>4</v>
      </c>
      <c r="D512">
        <v>4</v>
      </c>
      <c r="E512">
        <v>5</v>
      </c>
      <c r="F512">
        <v>1</v>
      </c>
      <c r="G512" t="s">
        <v>47</v>
      </c>
      <c r="H512" t="s">
        <v>13</v>
      </c>
      <c r="I512" t="s">
        <v>123</v>
      </c>
      <c r="J512" t="s">
        <v>15</v>
      </c>
    </row>
    <row r="513" spans="1:10" x14ac:dyDescent="0.25">
      <c r="A513" t="s">
        <v>122</v>
      </c>
      <c r="B513" t="s">
        <v>16</v>
      </c>
      <c r="F513">
        <v>0</v>
      </c>
      <c r="H513" t="s">
        <v>13</v>
      </c>
      <c r="I513" t="s">
        <v>123</v>
      </c>
      <c r="J513" t="s">
        <v>15</v>
      </c>
    </row>
    <row r="514" spans="1:10" x14ac:dyDescent="0.25">
      <c r="A514" t="s">
        <v>122</v>
      </c>
      <c r="B514" t="s">
        <v>43</v>
      </c>
      <c r="C514">
        <v>5</v>
      </c>
      <c r="D514">
        <v>5</v>
      </c>
      <c r="E514">
        <v>5</v>
      </c>
      <c r="F514">
        <v>2</v>
      </c>
      <c r="G514" t="s">
        <v>12</v>
      </c>
      <c r="H514" t="s">
        <v>13</v>
      </c>
      <c r="I514" t="s">
        <v>123</v>
      </c>
      <c r="J514" t="s">
        <v>15</v>
      </c>
    </row>
    <row r="515" spans="1:10" x14ac:dyDescent="0.25">
      <c r="A515" t="s">
        <v>124</v>
      </c>
      <c r="B515" t="s">
        <v>11</v>
      </c>
      <c r="C515">
        <v>5</v>
      </c>
      <c r="D515">
        <v>6</v>
      </c>
      <c r="E515">
        <v>6</v>
      </c>
      <c r="F515">
        <v>1</v>
      </c>
      <c r="G515" t="s">
        <v>12</v>
      </c>
      <c r="H515" t="s">
        <v>13</v>
      </c>
      <c r="I515" t="s">
        <v>125</v>
      </c>
      <c r="J515" t="s">
        <v>15</v>
      </c>
    </row>
    <row r="516" spans="1:10" x14ac:dyDescent="0.25">
      <c r="A516" t="s">
        <v>124</v>
      </c>
      <c r="B516" t="s">
        <v>16</v>
      </c>
      <c r="F516">
        <v>0</v>
      </c>
      <c r="H516" t="s">
        <v>13</v>
      </c>
      <c r="I516" t="s">
        <v>125</v>
      </c>
      <c r="J516" t="s">
        <v>15</v>
      </c>
    </row>
    <row r="517" spans="1:10" x14ac:dyDescent="0.25">
      <c r="A517" t="s">
        <v>124</v>
      </c>
      <c r="B517" t="s">
        <v>17</v>
      </c>
      <c r="C517">
        <v>4</v>
      </c>
      <c r="D517">
        <v>5</v>
      </c>
      <c r="E517">
        <v>6</v>
      </c>
      <c r="F517">
        <v>1</v>
      </c>
      <c r="G517" t="s">
        <v>22</v>
      </c>
      <c r="H517" t="s">
        <v>13</v>
      </c>
      <c r="I517" t="s">
        <v>125</v>
      </c>
      <c r="J517" t="s">
        <v>15</v>
      </c>
    </row>
    <row r="518" spans="1:10" x14ac:dyDescent="0.25">
      <c r="A518" t="s">
        <v>124</v>
      </c>
      <c r="B518" t="s">
        <v>19</v>
      </c>
      <c r="C518">
        <v>5</v>
      </c>
      <c r="D518">
        <v>5</v>
      </c>
      <c r="E518">
        <v>6</v>
      </c>
      <c r="F518">
        <v>4</v>
      </c>
      <c r="G518" t="s">
        <v>44</v>
      </c>
      <c r="H518" t="s">
        <v>13</v>
      </c>
      <c r="I518" t="s">
        <v>125</v>
      </c>
      <c r="J518" t="s">
        <v>15</v>
      </c>
    </row>
    <row r="519" spans="1:10" x14ac:dyDescent="0.25">
      <c r="A519" t="s">
        <v>124</v>
      </c>
      <c r="B519" t="s">
        <v>21</v>
      </c>
      <c r="C519">
        <v>4</v>
      </c>
      <c r="D519">
        <v>6</v>
      </c>
      <c r="E519">
        <v>6</v>
      </c>
      <c r="F519">
        <v>1</v>
      </c>
      <c r="G519" t="s">
        <v>25</v>
      </c>
      <c r="H519" t="s">
        <v>13</v>
      </c>
      <c r="I519" t="s">
        <v>125</v>
      </c>
      <c r="J519" t="s">
        <v>15</v>
      </c>
    </row>
    <row r="520" spans="1:10" x14ac:dyDescent="0.25">
      <c r="A520" t="s">
        <v>124</v>
      </c>
      <c r="B520" t="s">
        <v>16</v>
      </c>
      <c r="F520">
        <v>0</v>
      </c>
      <c r="H520" t="s">
        <v>13</v>
      </c>
      <c r="I520" t="s">
        <v>125</v>
      </c>
      <c r="J520" t="s">
        <v>15</v>
      </c>
    </row>
    <row r="521" spans="1:10" x14ac:dyDescent="0.25">
      <c r="A521" t="s">
        <v>124</v>
      </c>
      <c r="B521" t="s">
        <v>23</v>
      </c>
      <c r="C521">
        <v>5</v>
      </c>
      <c r="D521">
        <v>6</v>
      </c>
      <c r="E521">
        <v>6</v>
      </c>
      <c r="F521">
        <v>3</v>
      </c>
      <c r="G521" t="s">
        <v>18</v>
      </c>
      <c r="H521" t="s">
        <v>13</v>
      </c>
      <c r="I521" t="s">
        <v>125</v>
      </c>
      <c r="J521" t="s">
        <v>15</v>
      </c>
    </row>
    <row r="522" spans="1:10" x14ac:dyDescent="0.25">
      <c r="A522" t="s">
        <v>124</v>
      </c>
      <c r="B522" t="s">
        <v>24</v>
      </c>
      <c r="C522">
        <v>5</v>
      </c>
      <c r="D522">
        <v>5</v>
      </c>
      <c r="E522">
        <v>6</v>
      </c>
      <c r="F522">
        <v>1</v>
      </c>
      <c r="G522" t="s">
        <v>12</v>
      </c>
      <c r="H522" t="s">
        <v>13</v>
      </c>
      <c r="I522" t="s">
        <v>125</v>
      </c>
      <c r="J522" t="s">
        <v>15</v>
      </c>
    </row>
    <row r="523" spans="1:10" x14ac:dyDescent="0.25">
      <c r="A523" t="s">
        <v>124</v>
      </c>
      <c r="B523" t="s">
        <v>26</v>
      </c>
      <c r="F523">
        <v>0</v>
      </c>
      <c r="H523" t="s">
        <v>13</v>
      </c>
      <c r="I523" t="s">
        <v>125</v>
      </c>
      <c r="J523" t="s">
        <v>15</v>
      </c>
    </row>
    <row r="524" spans="1:10" x14ac:dyDescent="0.25">
      <c r="A524" t="s">
        <v>124</v>
      </c>
      <c r="B524" t="s">
        <v>27</v>
      </c>
      <c r="C524">
        <v>4</v>
      </c>
      <c r="D524">
        <v>5</v>
      </c>
      <c r="E524">
        <v>6</v>
      </c>
      <c r="F524">
        <v>1</v>
      </c>
      <c r="G524" t="s">
        <v>25</v>
      </c>
      <c r="H524" t="s">
        <v>13</v>
      </c>
      <c r="I524" t="s">
        <v>125</v>
      </c>
      <c r="J524" t="s">
        <v>15</v>
      </c>
    </row>
    <row r="525" spans="1:10" x14ac:dyDescent="0.25">
      <c r="A525" t="s">
        <v>124</v>
      </c>
      <c r="B525" t="s">
        <v>28</v>
      </c>
      <c r="C525">
        <v>4</v>
      </c>
      <c r="D525">
        <v>4</v>
      </c>
      <c r="E525">
        <v>6</v>
      </c>
      <c r="F525">
        <v>1</v>
      </c>
      <c r="G525" t="s">
        <v>20</v>
      </c>
      <c r="H525" t="s">
        <v>13</v>
      </c>
      <c r="I525" t="s">
        <v>125</v>
      </c>
      <c r="J525" t="s">
        <v>15</v>
      </c>
    </row>
    <row r="526" spans="1:10" x14ac:dyDescent="0.25">
      <c r="A526" t="s">
        <v>124</v>
      </c>
      <c r="B526" t="s">
        <v>30</v>
      </c>
      <c r="C526">
        <v>5</v>
      </c>
      <c r="D526">
        <v>4</v>
      </c>
      <c r="E526">
        <v>6</v>
      </c>
      <c r="F526">
        <v>2</v>
      </c>
      <c r="G526" t="s">
        <v>50</v>
      </c>
      <c r="H526" t="s">
        <v>13</v>
      </c>
      <c r="I526" t="s">
        <v>125</v>
      </c>
      <c r="J526" t="s">
        <v>15</v>
      </c>
    </row>
    <row r="527" spans="1:10" x14ac:dyDescent="0.25">
      <c r="A527" t="s">
        <v>124</v>
      </c>
      <c r="B527" t="s">
        <v>31</v>
      </c>
      <c r="C527">
        <v>4</v>
      </c>
      <c r="D527">
        <v>6</v>
      </c>
      <c r="E527">
        <v>6</v>
      </c>
      <c r="F527">
        <v>1</v>
      </c>
      <c r="G527" t="s">
        <v>25</v>
      </c>
      <c r="H527" t="s">
        <v>13</v>
      </c>
      <c r="I527" t="s">
        <v>125</v>
      </c>
      <c r="J527" t="s">
        <v>15</v>
      </c>
    </row>
    <row r="528" spans="1:10" x14ac:dyDescent="0.25">
      <c r="A528" t="s">
        <v>124</v>
      </c>
      <c r="B528" t="s">
        <v>32</v>
      </c>
      <c r="F528">
        <v>0</v>
      </c>
      <c r="H528" t="s">
        <v>13</v>
      </c>
      <c r="I528" t="s">
        <v>125</v>
      </c>
      <c r="J528" t="s">
        <v>15</v>
      </c>
    </row>
    <row r="529" spans="1:10" x14ac:dyDescent="0.25">
      <c r="A529" t="s">
        <v>124</v>
      </c>
      <c r="B529" t="s">
        <v>33</v>
      </c>
      <c r="F529">
        <v>0</v>
      </c>
      <c r="H529" t="s">
        <v>13</v>
      </c>
      <c r="I529" t="s">
        <v>125</v>
      </c>
      <c r="J529" t="s">
        <v>15</v>
      </c>
    </row>
    <row r="530" spans="1:10" x14ac:dyDescent="0.25">
      <c r="A530" t="s">
        <v>124</v>
      </c>
      <c r="B530" t="s">
        <v>34</v>
      </c>
      <c r="F530">
        <v>0</v>
      </c>
      <c r="H530" t="s">
        <v>13</v>
      </c>
      <c r="I530" t="s">
        <v>125</v>
      </c>
      <c r="J530" t="s">
        <v>15</v>
      </c>
    </row>
    <row r="531" spans="1:10" x14ac:dyDescent="0.25">
      <c r="A531" t="s">
        <v>124</v>
      </c>
      <c r="B531" t="s">
        <v>35</v>
      </c>
      <c r="C531">
        <v>5</v>
      </c>
      <c r="D531">
        <v>4</v>
      </c>
      <c r="E531">
        <v>6</v>
      </c>
      <c r="F531">
        <v>6</v>
      </c>
      <c r="G531" t="s">
        <v>48</v>
      </c>
      <c r="H531" t="s">
        <v>13</v>
      </c>
      <c r="I531" t="s">
        <v>125</v>
      </c>
      <c r="J531" t="s">
        <v>15</v>
      </c>
    </row>
    <row r="532" spans="1:10" x14ac:dyDescent="0.25">
      <c r="A532" t="s">
        <v>124</v>
      </c>
      <c r="B532" t="s">
        <v>36</v>
      </c>
      <c r="C532">
        <v>4</v>
      </c>
      <c r="D532">
        <v>6</v>
      </c>
      <c r="E532">
        <v>6</v>
      </c>
      <c r="F532">
        <v>1</v>
      </c>
      <c r="G532" t="s">
        <v>25</v>
      </c>
      <c r="H532" t="s">
        <v>13</v>
      </c>
      <c r="I532" t="s">
        <v>125</v>
      </c>
      <c r="J532" t="s">
        <v>15</v>
      </c>
    </row>
    <row r="533" spans="1:10" x14ac:dyDescent="0.25">
      <c r="A533" t="s">
        <v>124</v>
      </c>
      <c r="B533" t="s">
        <v>37</v>
      </c>
      <c r="C533">
        <v>4</v>
      </c>
      <c r="D533">
        <v>6</v>
      </c>
      <c r="E533">
        <v>6</v>
      </c>
      <c r="F533">
        <v>3</v>
      </c>
      <c r="G533" t="s">
        <v>126</v>
      </c>
      <c r="H533" t="s">
        <v>13</v>
      </c>
      <c r="I533" t="s">
        <v>125</v>
      </c>
      <c r="J533" t="s">
        <v>15</v>
      </c>
    </row>
    <row r="534" spans="1:10" x14ac:dyDescent="0.25">
      <c r="A534" t="s">
        <v>124</v>
      </c>
      <c r="B534" t="s">
        <v>16</v>
      </c>
      <c r="F534">
        <v>0</v>
      </c>
      <c r="H534" t="s">
        <v>13</v>
      </c>
      <c r="I534" t="s">
        <v>125</v>
      </c>
      <c r="J534" t="s">
        <v>15</v>
      </c>
    </row>
    <row r="535" spans="1:10" x14ac:dyDescent="0.25">
      <c r="A535" t="s">
        <v>124</v>
      </c>
      <c r="B535" t="s">
        <v>38</v>
      </c>
      <c r="C535">
        <v>5</v>
      </c>
      <c r="D535">
        <v>6</v>
      </c>
      <c r="E535">
        <v>6</v>
      </c>
      <c r="F535">
        <v>8</v>
      </c>
      <c r="G535" t="s">
        <v>48</v>
      </c>
      <c r="H535" t="s">
        <v>13</v>
      </c>
      <c r="I535" t="s">
        <v>125</v>
      </c>
      <c r="J535" t="s">
        <v>15</v>
      </c>
    </row>
    <row r="536" spans="1:10" x14ac:dyDescent="0.25">
      <c r="A536" t="s">
        <v>124</v>
      </c>
      <c r="B536" t="s">
        <v>16</v>
      </c>
      <c r="F536">
        <v>0</v>
      </c>
      <c r="H536" t="s">
        <v>13</v>
      </c>
      <c r="I536" t="s">
        <v>125</v>
      </c>
      <c r="J536" t="s">
        <v>15</v>
      </c>
    </row>
    <row r="537" spans="1:10" x14ac:dyDescent="0.25">
      <c r="A537" t="s">
        <v>124</v>
      </c>
      <c r="B537" t="s">
        <v>40</v>
      </c>
      <c r="C537">
        <v>5</v>
      </c>
      <c r="D537">
        <v>6</v>
      </c>
      <c r="E537">
        <v>6</v>
      </c>
      <c r="F537">
        <v>1</v>
      </c>
      <c r="G537" t="s">
        <v>12</v>
      </c>
      <c r="H537" t="s">
        <v>13</v>
      </c>
      <c r="I537" t="s">
        <v>125</v>
      </c>
      <c r="J537" t="s">
        <v>15</v>
      </c>
    </row>
    <row r="538" spans="1:10" x14ac:dyDescent="0.25">
      <c r="A538" t="s">
        <v>124</v>
      </c>
      <c r="B538" t="s">
        <v>41</v>
      </c>
      <c r="C538">
        <v>4</v>
      </c>
      <c r="D538">
        <v>3</v>
      </c>
      <c r="E538">
        <v>6</v>
      </c>
      <c r="F538">
        <v>1</v>
      </c>
      <c r="G538" t="s">
        <v>25</v>
      </c>
      <c r="H538" t="s">
        <v>13</v>
      </c>
      <c r="I538" t="s">
        <v>125</v>
      </c>
      <c r="J538" t="s">
        <v>15</v>
      </c>
    </row>
    <row r="539" spans="1:10" x14ac:dyDescent="0.25">
      <c r="A539" t="s">
        <v>124</v>
      </c>
      <c r="B539" t="s">
        <v>42</v>
      </c>
      <c r="C539">
        <v>4</v>
      </c>
      <c r="D539">
        <v>6</v>
      </c>
      <c r="E539">
        <v>6</v>
      </c>
      <c r="F539">
        <v>1</v>
      </c>
      <c r="G539" t="s">
        <v>25</v>
      </c>
      <c r="H539" t="s">
        <v>13</v>
      </c>
      <c r="I539" t="s">
        <v>125</v>
      </c>
      <c r="J539" t="s">
        <v>15</v>
      </c>
    </row>
    <row r="540" spans="1:10" x14ac:dyDescent="0.25">
      <c r="A540" t="s">
        <v>124</v>
      </c>
      <c r="B540" t="s">
        <v>16</v>
      </c>
      <c r="F540">
        <v>0</v>
      </c>
      <c r="H540" t="s">
        <v>13</v>
      </c>
      <c r="I540" t="s">
        <v>125</v>
      </c>
      <c r="J540" t="s">
        <v>15</v>
      </c>
    </row>
    <row r="541" spans="1:10" x14ac:dyDescent="0.25">
      <c r="A541" t="s">
        <v>124</v>
      </c>
      <c r="B541" t="s">
        <v>43</v>
      </c>
      <c r="C541">
        <v>4</v>
      </c>
      <c r="D541">
        <v>6</v>
      </c>
      <c r="E541">
        <v>6</v>
      </c>
      <c r="F541">
        <v>2</v>
      </c>
      <c r="G541" t="s">
        <v>20</v>
      </c>
      <c r="H541" t="s">
        <v>13</v>
      </c>
      <c r="I541" t="s">
        <v>125</v>
      </c>
      <c r="J541" t="s">
        <v>15</v>
      </c>
    </row>
    <row r="542" spans="1:10" x14ac:dyDescent="0.25">
      <c r="A542" t="s">
        <v>127</v>
      </c>
      <c r="B542" t="s">
        <v>11</v>
      </c>
      <c r="C542">
        <v>4</v>
      </c>
      <c r="D542">
        <v>5</v>
      </c>
      <c r="E542">
        <v>5</v>
      </c>
      <c r="F542">
        <v>1</v>
      </c>
      <c r="G542" t="s">
        <v>20</v>
      </c>
      <c r="H542" t="s">
        <v>13</v>
      </c>
      <c r="I542" t="s">
        <v>128</v>
      </c>
      <c r="J542" t="s">
        <v>15</v>
      </c>
    </row>
    <row r="543" spans="1:10" x14ac:dyDescent="0.25">
      <c r="A543" t="s">
        <v>127</v>
      </c>
      <c r="B543" t="s">
        <v>16</v>
      </c>
      <c r="F543">
        <v>0</v>
      </c>
      <c r="H543" t="s">
        <v>13</v>
      </c>
      <c r="I543" t="s">
        <v>128</v>
      </c>
      <c r="J543" t="s">
        <v>15</v>
      </c>
    </row>
    <row r="544" spans="1:10" x14ac:dyDescent="0.25">
      <c r="A544" t="s">
        <v>127</v>
      </c>
      <c r="B544" t="s">
        <v>17</v>
      </c>
      <c r="C544">
        <v>5</v>
      </c>
      <c r="D544">
        <v>4</v>
      </c>
      <c r="E544">
        <v>5</v>
      </c>
      <c r="F544">
        <v>3</v>
      </c>
      <c r="G544" t="s">
        <v>44</v>
      </c>
      <c r="H544" t="s">
        <v>13</v>
      </c>
      <c r="I544" t="s">
        <v>128</v>
      </c>
      <c r="J544" t="s">
        <v>15</v>
      </c>
    </row>
    <row r="545" spans="1:10" x14ac:dyDescent="0.25">
      <c r="A545" t="s">
        <v>127</v>
      </c>
      <c r="B545" t="s">
        <v>19</v>
      </c>
      <c r="C545">
        <v>4</v>
      </c>
      <c r="D545">
        <v>4</v>
      </c>
      <c r="E545">
        <v>5</v>
      </c>
      <c r="F545">
        <v>3</v>
      </c>
      <c r="G545" t="s">
        <v>39</v>
      </c>
      <c r="H545" t="s">
        <v>13</v>
      </c>
      <c r="I545" t="s">
        <v>128</v>
      </c>
      <c r="J545" t="s">
        <v>15</v>
      </c>
    </row>
    <row r="546" spans="1:10" x14ac:dyDescent="0.25">
      <c r="A546" t="s">
        <v>127</v>
      </c>
      <c r="B546" t="s">
        <v>21</v>
      </c>
      <c r="C546">
        <v>5</v>
      </c>
      <c r="D546">
        <v>3</v>
      </c>
      <c r="E546">
        <v>5</v>
      </c>
      <c r="F546">
        <v>1</v>
      </c>
      <c r="G546" t="s">
        <v>12</v>
      </c>
      <c r="H546" t="s">
        <v>13</v>
      </c>
      <c r="I546" t="s">
        <v>128</v>
      </c>
      <c r="J546" t="s">
        <v>15</v>
      </c>
    </row>
    <row r="547" spans="1:10" x14ac:dyDescent="0.25">
      <c r="A547" t="s">
        <v>127</v>
      </c>
      <c r="B547" t="s">
        <v>16</v>
      </c>
      <c r="F547">
        <v>0</v>
      </c>
      <c r="H547" t="s">
        <v>13</v>
      </c>
      <c r="I547" t="s">
        <v>128</v>
      </c>
      <c r="J547" t="s">
        <v>15</v>
      </c>
    </row>
    <row r="548" spans="1:10" x14ac:dyDescent="0.25">
      <c r="A548" t="s">
        <v>127</v>
      </c>
      <c r="B548" t="s">
        <v>23</v>
      </c>
      <c r="C548">
        <v>5</v>
      </c>
      <c r="D548">
        <v>4</v>
      </c>
      <c r="E548">
        <v>5</v>
      </c>
      <c r="F548">
        <v>10</v>
      </c>
      <c r="G548" t="s">
        <v>129</v>
      </c>
      <c r="H548" t="s">
        <v>13</v>
      </c>
      <c r="I548" t="s">
        <v>128</v>
      </c>
      <c r="J548" t="s">
        <v>15</v>
      </c>
    </row>
    <row r="549" spans="1:10" x14ac:dyDescent="0.25">
      <c r="A549" t="s">
        <v>127</v>
      </c>
      <c r="B549" t="s">
        <v>24</v>
      </c>
      <c r="C549">
        <v>4</v>
      </c>
      <c r="D549">
        <v>3</v>
      </c>
      <c r="E549">
        <v>5</v>
      </c>
      <c r="F549">
        <v>1</v>
      </c>
      <c r="G549" t="s">
        <v>20</v>
      </c>
      <c r="H549" t="s">
        <v>13</v>
      </c>
      <c r="I549" t="s">
        <v>128</v>
      </c>
      <c r="J549" t="s">
        <v>15</v>
      </c>
    </row>
    <row r="550" spans="1:10" x14ac:dyDescent="0.25">
      <c r="A550" t="s">
        <v>127</v>
      </c>
      <c r="B550" t="s">
        <v>26</v>
      </c>
      <c r="F550">
        <v>0</v>
      </c>
      <c r="H550" t="s">
        <v>13</v>
      </c>
      <c r="I550" t="s">
        <v>128</v>
      </c>
      <c r="J550" t="s">
        <v>15</v>
      </c>
    </row>
    <row r="551" spans="1:10" x14ac:dyDescent="0.25">
      <c r="A551" t="s">
        <v>127</v>
      </c>
      <c r="B551" t="s">
        <v>27</v>
      </c>
      <c r="C551">
        <v>5</v>
      </c>
      <c r="D551">
        <v>4</v>
      </c>
      <c r="E551">
        <v>5</v>
      </c>
      <c r="F551">
        <v>1</v>
      </c>
      <c r="G551" t="s">
        <v>12</v>
      </c>
      <c r="H551" t="s">
        <v>13</v>
      </c>
      <c r="I551" t="s">
        <v>128</v>
      </c>
      <c r="J551" t="s">
        <v>15</v>
      </c>
    </row>
    <row r="552" spans="1:10" x14ac:dyDescent="0.25">
      <c r="A552" t="s">
        <v>127</v>
      </c>
      <c r="B552" t="s">
        <v>28</v>
      </c>
      <c r="C552">
        <v>3</v>
      </c>
      <c r="D552">
        <v>2</v>
      </c>
      <c r="E552">
        <v>5</v>
      </c>
      <c r="F552">
        <v>1</v>
      </c>
      <c r="G552" t="s">
        <v>18</v>
      </c>
      <c r="H552" t="s">
        <v>13</v>
      </c>
      <c r="I552" t="s">
        <v>128</v>
      </c>
      <c r="J552" t="s">
        <v>15</v>
      </c>
    </row>
    <row r="553" spans="1:10" x14ac:dyDescent="0.25">
      <c r="A553" t="s">
        <v>127</v>
      </c>
      <c r="B553" t="s">
        <v>30</v>
      </c>
      <c r="D553">
        <v>4</v>
      </c>
      <c r="E553">
        <v>5</v>
      </c>
      <c r="F553">
        <v>0</v>
      </c>
      <c r="G553" t="s">
        <v>130</v>
      </c>
      <c r="H553" t="s">
        <v>13</v>
      </c>
      <c r="I553" t="s">
        <v>128</v>
      </c>
      <c r="J553" t="s">
        <v>15</v>
      </c>
    </row>
    <row r="554" spans="1:10" x14ac:dyDescent="0.25">
      <c r="A554" t="s">
        <v>127</v>
      </c>
      <c r="B554" t="s">
        <v>31</v>
      </c>
      <c r="C554">
        <v>5</v>
      </c>
      <c r="D554">
        <v>5</v>
      </c>
      <c r="E554">
        <v>5</v>
      </c>
      <c r="F554">
        <v>1</v>
      </c>
      <c r="G554" t="s">
        <v>12</v>
      </c>
      <c r="H554" t="s">
        <v>13</v>
      </c>
      <c r="I554" t="s">
        <v>128</v>
      </c>
      <c r="J554" t="s">
        <v>15</v>
      </c>
    </row>
    <row r="555" spans="1:10" x14ac:dyDescent="0.25">
      <c r="A555" t="s">
        <v>127</v>
      </c>
      <c r="B555" t="s">
        <v>32</v>
      </c>
      <c r="F555">
        <v>0</v>
      </c>
      <c r="H555" t="s">
        <v>13</v>
      </c>
      <c r="I555" t="s">
        <v>128</v>
      </c>
      <c r="J555" t="s">
        <v>15</v>
      </c>
    </row>
    <row r="556" spans="1:10" x14ac:dyDescent="0.25">
      <c r="A556" t="s">
        <v>127</v>
      </c>
      <c r="B556" t="s">
        <v>33</v>
      </c>
      <c r="F556">
        <v>0</v>
      </c>
      <c r="H556" t="s">
        <v>13</v>
      </c>
      <c r="I556" t="s">
        <v>128</v>
      </c>
      <c r="J556" t="s">
        <v>15</v>
      </c>
    </row>
    <row r="557" spans="1:10" x14ac:dyDescent="0.25">
      <c r="A557" t="s">
        <v>127</v>
      </c>
      <c r="B557" t="s">
        <v>34</v>
      </c>
      <c r="F557">
        <v>0</v>
      </c>
      <c r="H557" t="s">
        <v>13</v>
      </c>
      <c r="I557" t="s">
        <v>128</v>
      </c>
      <c r="J557" t="s">
        <v>15</v>
      </c>
    </row>
    <row r="558" spans="1:10" x14ac:dyDescent="0.25">
      <c r="A558" t="s">
        <v>127</v>
      </c>
      <c r="B558" t="s">
        <v>35</v>
      </c>
      <c r="C558">
        <v>4</v>
      </c>
      <c r="D558">
        <v>4</v>
      </c>
      <c r="E558">
        <v>5</v>
      </c>
      <c r="F558">
        <v>1</v>
      </c>
      <c r="G558" t="s">
        <v>22</v>
      </c>
      <c r="H558" t="s">
        <v>13</v>
      </c>
      <c r="I558" t="s">
        <v>128</v>
      </c>
      <c r="J558" t="s">
        <v>15</v>
      </c>
    </row>
    <row r="559" spans="1:10" x14ac:dyDescent="0.25">
      <c r="A559" t="s">
        <v>127</v>
      </c>
      <c r="B559" t="s">
        <v>36</v>
      </c>
      <c r="C559">
        <v>5</v>
      </c>
      <c r="D559">
        <v>2</v>
      </c>
      <c r="E559">
        <v>5</v>
      </c>
      <c r="F559">
        <v>1</v>
      </c>
      <c r="G559" t="s">
        <v>12</v>
      </c>
      <c r="H559" t="s">
        <v>13</v>
      </c>
      <c r="I559" t="s">
        <v>128</v>
      </c>
      <c r="J559" t="s">
        <v>15</v>
      </c>
    </row>
    <row r="560" spans="1:10" x14ac:dyDescent="0.25">
      <c r="A560" t="s">
        <v>127</v>
      </c>
      <c r="B560" t="s">
        <v>37</v>
      </c>
      <c r="C560">
        <v>12</v>
      </c>
      <c r="D560">
        <v>5</v>
      </c>
      <c r="E560">
        <v>5</v>
      </c>
      <c r="F560">
        <v>2</v>
      </c>
      <c r="G560" t="s">
        <v>75</v>
      </c>
      <c r="H560" t="s">
        <v>13</v>
      </c>
      <c r="I560" t="s">
        <v>128</v>
      </c>
      <c r="J560" t="s">
        <v>15</v>
      </c>
    </row>
    <row r="561" spans="1:10" x14ac:dyDescent="0.25">
      <c r="A561" t="s">
        <v>127</v>
      </c>
      <c r="B561" t="s">
        <v>16</v>
      </c>
      <c r="F561">
        <v>0</v>
      </c>
      <c r="H561" t="s">
        <v>13</v>
      </c>
      <c r="I561" t="s">
        <v>128</v>
      </c>
      <c r="J561" t="s">
        <v>15</v>
      </c>
    </row>
    <row r="562" spans="1:10" x14ac:dyDescent="0.25">
      <c r="A562" t="s">
        <v>127</v>
      </c>
      <c r="B562" t="s">
        <v>38</v>
      </c>
      <c r="C562">
        <v>5</v>
      </c>
      <c r="D562">
        <v>5</v>
      </c>
      <c r="E562">
        <v>5</v>
      </c>
      <c r="F562">
        <v>9</v>
      </c>
      <c r="G562" t="s">
        <v>131</v>
      </c>
      <c r="H562" t="s">
        <v>13</v>
      </c>
      <c r="I562" t="s">
        <v>128</v>
      </c>
      <c r="J562" t="s">
        <v>15</v>
      </c>
    </row>
    <row r="563" spans="1:10" x14ac:dyDescent="0.25">
      <c r="A563" t="s">
        <v>127</v>
      </c>
      <c r="B563" t="s">
        <v>16</v>
      </c>
      <c r="F563">
        <v>0</v>
      </c>
      <c r="H563" t="s">
        <v>13</v>
      </c>
      <c r="I563" t="s">
        <v>128</v>
      </c>
      <c r="J563" t="s">
        <v>15</v>
      </c>
    </row>
    <row r="564" spans="1:10" x14ac:dyDescent="0.25">
      <c r="A564" t="s">
        <v>127</v>
      </c>
      <c r="B564" t="s">
        <v>40</v>
      </c>
      <c r="C564">
        <v>4</v>
      </c>
      <c r="D564">
        <v>4</v>
      </c>
      <c r="E564">
        <v>5</v>
      </c>
      <c r="F564">
        <v>1</v>
      </c>
      <c r="G564" t="s">
        <v>20</v>
      </c>
      <c r="H564" t="s">
        <v>13</v>
      </c>
      <c r="I564" t="s">
        <v>128</v>
      </c>
      <c r="J564" t="s">
        <v>15</v>
      </c>
    </row>
    <row r="565" spans="1:10" x14ac:dyDescent="0.25">
      <c r="A565" t="s">
        <v>127</v>
      </c>
      <c r="B565" t="s">
        <v>41</v>
      </c>
      <c r="C565">
        <v>5</v>
      </c>
      <c r="D565">
        <v>3</v>
      </c>
      <c r="E565">
        <v>5</v>
      </c>
      <c r="F565">
        <v>1</v>
      </c>
      <c r="G565" t="s">
        <v>12</v>
      </c>
      <c r="H565" t="s">
        <v>13</v>
      </c>
      <c r="I565" t="s">
        <v>128</v>
      </c>
      <c r="J565" t="s">
        <v>15</v>
      </c>
    </row>
    <row r="566" spans="1:10" x14ac:dyDescent="0.25">
      <c r="A566" t="s">
        <v>127</v>
      </c>
      <c r="B566" t="s">
        <v>42</v>
      </c>
      <c r="C566">
        <v>5</v>
      </c>
      <c r="D566">
        <v>4</v>
      </c>
      <c r="E566">
        <v>5</v>
      </c>
      <c r="F566">
        <v>4</v>
      </c>
      <c r="G566" t="s">
        <v>48</v>
      </c>
      <c r="H566" t="s">
        <v>13</v>
      </c>
      <c r="I566" t="s">
        <v>128</v>
      </c>
      <c r="J566" t="s">
        <v>15</v>
      </c>
    </row>
    <row r="567" spans="1:10" x14ac:dyDescent="0.25">
      <c r="A567" t="s">
        <v>127</v>
      </c>
      <c r="B567" t="s">
        <v>16</v>
      </c>
      <c r="F567">
        <v>0</v>
      </c>
      <c r="H567" t="s">
        <v>13</v>
      </c>
      <c r="I567" t="s">
        <v>128</v>
      </c>
      <c r="J567" t="s">
        <v>15</v>
      </c>
    </row>
    <row r="568" spans="1:10" x14ac:dyDescent="0.25">
      <c r="A568" t="s">
        <v>127</v>
      </c>
      <c r="B568" t="s">
        <v>43</v>
      </c>
      <c r="C568">
        <v>5</v>
      </c>
      <c r="D568">
        <v>5</v>
      </c>
      <c r="E568">
        <v>5</v>
      </c>
      <c r="F568">
        <v>8</v>
      </c>
      <c r="G568" t="s">
        <v>75</v>
      </c>
      <c r="H568" t="s">
        <v>13</v>
      </c>
      <c r="I568" t="s">
        <v>128</v>
      </c>
      <c r="J568" t="s">
        <v>15</v>
      </c>
    </row>
    <row r="569" spans="1:10" x14ac:dyDescent="0.25">
      <c r="A569" t="s">
        <v>132</v>
      </c>
      <c r="B569" t="s">
        <v>11</v>
      </c>
      <c r="C569">
        <v>3</v>
      </c>
      <c r="D569">
        <v>5</v>
      </c>
      <c r="E569">
        <v>5</v>
      </c>
      <c r="F569">
        <v>1</v>
      </c>
      <c r="G569" t="s">
        <v>18</v>
      </c>
      <c r="H569" t="s">
        <v>13</v>
      </c>
      <c r="I569" t="s">
        <v>133</v>
      </c>
      <c r="J569" t="s">
        <v>15</v>
      </c>
    </row>
    <row r="570" spans="1:10" x14ac:dyDescent="0.25">
      <c r="A570" t="s">
        <v>132</v>
      </c>
      <c r="B570" t="s">
        <v>16</v>
      </c>
      <c r="F570">
        <v>0</v>
      </c>
      <c r="H570" t="s">
        <v>13</v>
      </c>
      <c r="I570" t="s">
        <v>133</v>
      </c>
      <c r="J570" t="s">
        <v>15</v>
      </c>
    </row>
    <row r="571" spans="1:10" x14ac:dyDescent="0.25">
      <c r="A571" t="s">
        <v>132</v>
      </c>
      <c r="B571" t="s">
        <v>17</v>
      </c>
      <c r="C571">
        <v>4</v>
      </c>
      <c r="D571">
        <v>4</v>
      </c>
      <c r="E571">
        <v>5</v>
      </c>
      <c r="F571">
        <v>1</v>
      </c>
      <c r="G571" t="s">
        <v>52</v>
      </c>
      <c r="H571" t="s">
        <v>13</v>
      </c>
      <c r="I571" t="s">
        <v>133</v>
      </c>
      <c r="J571" t="s">
        <v>15</v>
      </c>
    </row>
    <row r="572" spans="1:10" x14ac:dyDescent="0.25">
      <c r="A572" t="s">
        <v>132</v>
      </c>
      <c r="B572" t="s">
        <v>19</v>
      </c>
      <c r="C572">
        <v>5</v>
      </c>
      <c r="D572">
        <v>4</v>
      </c>
      <c r="E572">
        <v>5</v>
      </c>
      <c r="F572">
        <v>1</v>
      </c>
      <c r="G572" t="s">
        <v>29</v>
      </c>
      <c r="H572" t="s">
        <v>13</v>
      </c>
      <c r="I572" t="s">
        <v>133</v>
      </c>
      <c r="J572" t="s">
        <v>15</v>
      </c>
    </row>
    <row r="573" spans="1:10" x14ac:dyDescent="0.25">
      <c r="A573" t="s">
        <v>132</v>
      </c>
      <c r="B573" t="s">
        <v>21</v>
      </c>
      <c r="D573">
        <v>4</v>
      </c>
      <c r="E573">
        <v>5</v>
      </c>
      <c r="F573">
        <v>0</v>
      </c>
      <c r="G573" t="s">
        <v>134</v>
      </c>
      <c r="H573" t="s">
        <v>13</v>
      </c>
      <c r="I573" t="s">
        <v>133</v>
      </c>
      <c r="J573" t="s">
        <v>15</v>
      </c>
    </row>
    <row r="574" spans="1:10" x14ac:dyDescent="0.25">
      <c r="A574" t="s">
        <v>132</v>
      </c>
      <c r="B574" t="s">
        <v>16</v>
      </c>
      <c r="F574">
        <v>0</v>
      </c>
      <c r="H574" t="s">
        <v>13</v>
      </c>
      <c r="I574" t="s">
        <v>133</v>
      </c>
      <c r="J574" t="s">
        <v>15</v>
      </c>
    </row>
    <row r="575" spans="1:10" x14ac:dyDescent="0.25">
      <c r="A575" t="s">
        <v>132</v>
      </c>
      <c r="B575" t="s">
        <v>23</v>
      </c>
      <c r="C575">
        <v>12</v>
      </c>
      <c r="D575">
        <v>4</v>
      </c>
      <c r="E575">
        <v>5</v>
      </c>
      <c r="F575">
        <v>2</v>
      </c>
      <c r="G575" t="s">
        <v>74</v>
      </c>
      <c r="H575" t="s">
        <v>13</v>
      </c>
      <c r="I575" t="s">
        <v>133</v>
      </c>
      <c r="J575" t="s">
        <v>15</v>
      </c>
    </row>
    <row r="576" spans="1:10" x14ac:dyDescent="0.25">
      <c r="A576" t="s">
        <v>132</v>
      </c>
      <c r="B576" t="s">
        <v>24</v>
      </c>
      <c r="C576">
        <v>3</v>
      </c>
      <c r="D576">
        <v>3</v>
      </c>
      <c r="E576">
        <v>5</v>
      </c>
      <c r="F576">
        <v>1</v>
      </c>
      <c r="G576" t="s">
        <v>18</v>
      </c>
      <c r="H576" t="s">
        <v>13</v>
      </c>
      <c r="I576" t="s">
        <v>133</v>
      </c>
      <c r="J576" t="s">
        <v>15</v>
      </c>
    </row>
    <row r="577" spans="1:10" x14ac:dyDescent="0.25">
      <c r="A577" t="s">
        <v>132</v>
      </c>
      <c r="B577" t="s">
        <v>26</v>
      </c>
      <c r="F577">
        <v>0</v>
      </c>
      <c r="H577" t="s">
        <v>13</v>
      </c>
      <c r="I577" t="s">
        <v>133</v>
      </c>
      <c r="J577" t="s">
        <v>15</v>
      </c>
    </row>
    <row r="578" spans="1:10" x14ac:dyDescent="0.25">
      <c r="A578" t="s">
        <v>132</v>
      </c>
      <c r="B578" t="s">
        <v>27</v>
      </c>
      <c r="D578">
        <v>3</v>
      </c>
      <c r="E578">
        <v>5</v>
      </c>
      <c r="F578">
        <v>0</v>
      </c>
      <c r="G578" t="s">
        <v>135</v>
      </c>
      <c r="H578" t="s">
        <v>13</v>
      </c>
      <c r="I578" t="s">
        <v>133</v>
      </c>
      <c r="J578" t="s">
        <v>15</v>
      </c>
    </row>
    <row r="579" spans="1:10" x14ac:dyDescent="0.25">
      <c r="A579" t="s">
        <v>132</v>
      </c>
      <c r="B579" t="s">
        <v>28</v>
      </c>
      <c r="D579">
        <v>4</v>
      </c>
      <c r="E579">
        <v>5</v>
      </c>
      <c r="F579">
        <v>0</v>
      </c>
      <c r="G579" t="s">
        <v>136</v>
      </c>
      <c r="H579" t="s">
        <v>13</v>
      </c>
      <c r="I579" t="s">
        <v>133</v>
      </c>
      <c r="J579" t="s">
        <v>15</v>
      </c>
    </row>
    <row r="580" spans="1:10" x14ac:dyDescent="0.25">
      <c r="A580" t="s">
        <v>132</v>
      </c>
      <c r="B580" t="s">
        <v>30</v>
      </c>
      <c r="C580">
        <v>3</v>
      </c>
      <c r="D580">
        <v>4</v>
      </c>
      <c r="E580">
        <v>5</v>
      </c>
      <c r="F580">
        <v>1</v>
      </c>
      <c r="G580" t="s">
        <v>18</v>
      </c>
      <c r="H580" t="s">
        <v>13</v>
      </c>
      <c r="I580" t="s">
        <v>133</v>
      </c>
      <c r="J580" t="s">
        <v>15</v>
      </c>
    </row>
    <row r="581" spans="1:10" x14ac:dyDescent="0.25">
      <c r="A581" t="s">
        <v>132</v>
      </c>
      <c r="B581" t="s">
        <v>31</v>
      </c>
      <c r="D581">
        <v>3</v>
      </c>
      <c r="E581">
        <v>5</v>
      </c>
      <c r="F581">
        <v>0</v>
      </c>
      <c r="G581" t="s">
        <v>137</v>
      </c>
      <c r="H581" t="s">
        <v>13</v>
      </c>
      <c r="I581" t="s">
        <v>133</v>
      </c>
      <c r="J581" t="s">
        <v>15</v>
      </c>
    </row>
    <row r="582" spans="1:10" x14ac:dyDescent="0.25">
      <c r="A582" t="s">
        <v>132</v>
      </c>
      <c r="B582" t="s">
        <v>32</v>
      </c>
      <c r="F582">
        <v>0</v>
      </c>
      <c r="H582" t="s">
        <v>13</v>
      </c>
      <c r="I582" t="s">
        <v>133</v>
      </c>
      <c r="J582" t="s">
        <v>15</v>
      </c>
    </row>
    <row r="583" spans="1:10" x14ac:dyDescent="0.25">
      <c r="A583" t="s">
        <v>132</v>
      </c>
      <c r="B583" t="s">
        <v>33</v>
      </c>
      <c r="F583">
        <v>0</v>
      </c>
      <c r="H583" t="s">
        <v>13</v>
      </c>
      <c r="I583" t="s">
        <v>133</v>
      </c>
      <c r="J583" t="s">
        <v>15</v>
      </c>
    </row>
    <row r="584" spans="1:10" x14ac:dyDescent="0.25">
      <c r="A584" t="s">
        <v>132</v>
      </c>
      <c r="B584" t="s">
        <v>34</v>
      </c>
      <c r="F584">
        <v>0</v>
      </c>
      <c r="H584" t="s">
        <v>13</v>
      </c>
      <c r="I584" t="s">
        <v>133</v>
      </c>
      <c r="J584" t="s">
        <v>15</v>
      </c>
    </row>
    <row r="585" spans="1:10" x14ac:dyDescent="0.25">
      <c r="A585" t="s">
        <v>132</v>
      </c>
      <c r="B585" t="s">
        <v>35</v>
      </c>
      <c r="C585">
        <v>4</v>
      </c>
      <c r="D585">
        <v>5</v>
      </c>
      <c r="E585">
        <v>5</v>
      </c>
      <c r="F585">
        <v>2</v>
      </c>
      <c r="G585" t="s">
        <v>18</v>
      </c>
      <c r="H585" t="s">
        <v>13</v>
      </c>
      <c r="I585" t="s">
        <v>133</v>
      </c>
      <c r="J585" t="s">
        <v>15</v>
      </c>
    </row>
    <row r="586" spans="1:10" x14ac:dyDescent="0.25">
      <c r="A586" t="s">
        <v>132</v>
      </c>
      <c r="B586" t="s">
        <v>36</v>
      </c>
      <c r="D586">
        <v>2</v>
      </c>
      <c r="E586">
        <v>5</v>
      </c>
      <c r="F586">
        <v>0</v>
      </c>
      <c r="G586" t="s">
        <v>138</v>
      </c>
      <c r="H586" t="s">
        <v>13</v>
      </c>
      <c r="I586" t="s">
        <v>133</v>
      </c>
      <c r="J586" t="s">
        <v>15</v>
      </c>
    </row>
    <row r="587" spans="1:10" x14ac:dyDescent="0.25">
      <c r="A587" t="s">
        <v>132</v>
      </c>
      <c r="B587" t="s">
        <v>37</v>
      </c>
      <c r="C587">
        <v>5</v>
      </c>
      <c r="D587">
        <v>5</v>
      </c>
      <c r="E587">
        <v>5</v>
      </c>
      <c r="F587">
        <v>6</v>
      </c>
      <c r="G587" t="s">
        <v>22</v>
      </c>
      <c r="H587" t="s">
        <v>13</v>
      </c>
      <c r="I587" t="s">
        <v>133</v>
      </c>
      <c r="J587" t="s">
        <v>15</v>
      </c>
    </row>
    <row r="588" spans="1:10" x14ac:dyDescent="0.25">
      <c r="A588" t="s">
        <v>132</v>
      </c>
      <c r="B588" t="s">
        <v>16</v>
      </c>
      <c r="F588">
        <v>0</v>
      </c>
      <c r="H588" t="s">
        <v>13</v>
      </c>
      <c r="I588" t="s">
        <v>133</v>
      </c>
      <c r="J588" t="s">
        <v>15</v>
      </c>
    </row>
    <row r="589" spans="1:10" x14ac:dyDescent="0.25">
      <c r="A589" t="s">
        <v>132</v>
      </c>
      <c r="B589" t="s">
        <v>38</v>
      </c>
      <c r="C589">
        <v>4</v>
      </c>
      <c r="D589">
        <v>5</v>
      </c>
      <c r="E589">
        <v>5</v>
      </c>
      <c r="F589">
        <v>1</v>
      </c>
      <c r="G589" t="s">
        <v>67</v>
      </c>
      <c r="H589" t="s">
        <v>13</v>
      </c>
      <c r="I589" t="s">
        <v>133</v>
      </c>
      <c r="J589" t="s">
        <v>15</v>
      </c>
    </row>
    <row r="590" spans="1:10" x14ac:dyDescent="0.25">
      <c r="A590" t="s">
        <v>132</v>
      </c>
      <c r="B590" t="s">
        <v>16</v>
      </c>
      <c r="F590">
        <v>0</v>
      </c>
      <c r="H590" t="s">
        <v>13</v>
      </c>
      <c r="I590" t="s">
        <v>133</v>
      </c>
      <c r="J590" t="s">
        <v>15</v>
      </c>
    </row>
    <row r="591" spans="1:10" x14ac:dyDescent="0.25">
      <c r="A591" t="s">
        <v>132</v>
      </c>
      <c r="B591" t="s">
        <v>40</v>
      </c>
      <c r="C591">
        <v>3</v>
      </c>
      <c r="D591">
        <v>5</v>
      </c>
      <c r="E591">
        <v>5</v>
      </c>
      <c r="F591">
        <v>1</v>
      </c>
      <c r="G591" t="s">
        <v>18</v>
      </c>
      <c r="H591" t="s">
        <v>13</v>
      </c>
      <c r="I591" t="s">
        <v>133</v>
      </c>
      <c r="J591" t="s">
        <v>15</v>
      </c>
    </row>
    <row r="592" spans="1:10" x14ac:dyDescent="0.25">
      <c r="A592" t="s">
        <v>132</v>
      </c>
      <c r="B592" t="s">
        <v>41</v>
      </c>
      <c r="D592">
        <v>5</v>
      </c>
      <c r="E592">
        <v>5</v>
      </c>
      <c r="F592">
        <v>0</v>
      </c>
      <c r="G592" t="s">
        <v>139</v>
      </c>
      <c r="H592" t="s">
        <v>13</v>
      </c>
      <c r="I592" t="s">
        <v>133</v>
      </c>
      <c r="J592" t="s">
        <v>15</v>
      </c>
    </row>
    <row r="593" spans="1:10" x14ac:dyDescent="0.25">
      <c r="A593" t="s">
        <v>132</v>
      </c>
      <c r="B593" t="s">
        <v>42</v>
      </c>
      <c r="C593">
        <v>4</v>
      </c>
      <c r="D593">
        <v>5</v>
      </c>
      <c r="E593">
        <v>5</v>
      </c>
      <c r="F593">
        <v>3</v>
      </c>
      <c r="G593" t="s">
        <v>22</v>
      </c>
      <c r="H593" t="s">
        <v>13</v>
      </c>
      <c r="I593" t="s">
        <v>133</v>
      </c>
      <c r="J593" t="s">
        <v>15</v>
      </c>
    </row>
    <row r="594" spans="1:10" x14ac:dyDescent="0.25">
      <c r="A594" t="s">
        <v>132</v>
      </c>
      <c r="B594" t="s">
        <v>16</v>
      </c>
      <c r="F594">
        <v>0</v>
      </c>
      <c r="H594" t="s">
        <v>13</v>
      </c>
      <c r="I594" t="s">
        <v>133</v>
      </c>
      <c r="J594" t="s">
        <v>15</v>
      </c>
    </row>
    <row r="595" spans="1:10" x14ac:dyDescent="0.25">
      <c r="A595" t="s">
        <v>132</v>
      </c>
      <c r="B595" t="s">
        <v>43</v>
      </c>
      <c r="C595">
        <v>4</v>
      </c>
      <c r="D595">
        <v>5</v>
      </c>
      <c r="E595">
        <v>5</v>
      </c>
      <c r="F595">
        <v>2</v>
      </c>
      <c r="G595" t="s">
        <v>59</v>
      </c>
      <c r="H595" t="s">
        <v>13</v>
      </c>
      <c r="I595" t="s">
        <v>133</v>
      </c>
      <c r="J595" t="s">
        <v>15</v>
      </c>
    </row>
    <row r="596" spans="1:10" x14ac:dyDescent="0.25">
      <c r="A596" t="s">
        <v>140</v>
      </c>
      <c r="B596" t="s">
        <v>11</v>
      </c>
      <c r="D596">
        <v>20</v>
      </c>
      <c r="E596">
        <v>22</v>
      </c>
      <c r="F596">
        <v>0</v>
      </c>
      <c r="G596" t="s">
        <v>141</v>
      </c>
      <c r="H596" t="s">
        <v>13</v>
      </c>
      <c r="I596" t="s">
        <v>142</v>
      </c>
      <c r="J596" t="s">
        <v>58</v>
      </c>
    </row>
    <row r="597" spans="1:10" x14ac:dyDescent="0.25">
      <c r="A597" t="s">
        <v>140</v>
      </c>
      <c r="B597" t="s">
        <v>16</v>
      </c>
      <c r="F597">
        <v>0</v>
      </c>
      <c r="H597" t="s">
        <v>13</v>
      </c>
      <c r="I597" t="s">
        <v>142</v>
      </c>
      <c r="J597" t="s">
        <v>58</v>
      </c>
    </row>
    <row r="598" spans="1:10" x14ac:dyDescent="0.25">
      <c r="A598" t="s">
        <v>140</v>
      </c>
      <c r="B598" t="s">
        <v>17</v>
      </c>
      <c r="C598">
        <v>1</v>
      </c>
      <c r="D598">
        <v>19</v>
      </c>
      <c r="E598">
        <v>23</v>
      </c>
      <c r="F598">
        <v>1</v>
      </c>
      <c r="G598" t="s">
        <v>48</v>
      </c>
      <c r="H598" t="s">
        <v>13</v>
      </c>
      <c r="I598" t="s">
        <v>142</v>
      </c>
      <c r="J598" t="s">
        <v>58</v>
      </c>
    </row>
    <row r="599" spans="1:10" x14ac:dyDescent="0.25">
      <c r="A599" t="s">
        <v>140</v>
      </c>
      <c r="B599" t="s">
        <v>19</v>
      </c>
      <c r="C599">
        <v>12</v>
      </c>
      <c r="D599">
        <v>11</v>
      </c>
      <c r="E599">
        <v>23</v>
      </c>
      <c r="F599">
        <v>2</v>
      </c>
      <c r="G599" t="s">
        <v>75</v>
      </c>
      <c r="H599" t="s">
        <v>13</v>
      </c>
      <c r="I599" t="s">
        <v>142</v>
      </c>
      <c r="J599" t="s">
        <v>58</v>
      </c>
    </row>
    <row r="600" spans="1:10" x14ac:dyDescent="0.25">
      <c r="A600" t="s">
        <v>140</v>
      </c>
      <c r="B600" t="s">
        <v>21</v>
      </c>
      <c r="C600">
        <v>3</v>
      </c>
      <c r="D600">
        <v>17</v>
      </c>
      <c r="E600">
        <v>23</v>
      </c>
      <c r="F600">
        <v>1</v>
      </c>
      <c r="G600" t="s">
        <v>18</v>
      </c>
      <c r="H600" t="s">
        <v>13</v>
      </c>
      <c r="I600" t="s">
        <v>142</v>
      </c>
      <c r="J600" t="s">
        <v>58</v>
      </c>
    </row>
    <row r="601" spans="1:10" x14ac:dyDescent="0.25">
      <c r="A601" t="s">
        <v>140</v>
      </c>
      <c r="B601" t="s">
        <v>16</v>
      </c>
      <c r="F601">
        <v>0</v>
      </c>
      <c r="H601" t="s">
        <v>13</v>
      </c>
      <c r="I601" t="s">
        <v>142</v>
      </c>
      <c r="J601" t="s">
        <v>58</v>
      </c>
    </row>
    <row r="602" spans="1:10" x14ac:dyDescent="0.25">
      <c r="A602" t="s">
        <v>140</v>
      </c>
      <c r="B602" t="s">
        <v>23</v>
      </c>
      <c r="C602">
        <v>3</v>
      </c>
      <c r="D602">
        <v>18</v>
      </c>
      <c r="E602">
        <v>22</v>
      </c>
      <c r="F602">
        <v>1</v>
      </c>
      <c r="G602" t="s">
        <v>131</v>
      </c>
      <c r="H602" t="s">
        <v>13</v>
      </c>
      <c r="I602" t="s">
        <v>142</v>
      </c>
      <c r="J602" t="s">
        <v>58</v>
      </c>
    </row>
    <row r="603" spans="1:10" x14ac:dyDescent="0.25">
      <c r="A603" t="s">
        <v>140</v>
      </c>
      <c r="B603" t="s">
        <v>24</v>
      </c>
      <c r="D603">
        <v>15</v>
      </c>
      <c r="E603">
        <v>22</v>
      </c>
      <c r="F603">
        <v>0</v>
      </c>
      <c r="G603" t="s">
        <v>143</v>
      </c>
      <c r="H603" t="s">
        <v>13</v>
      </c>
      <c r="I603" t="s">
        <v>142</v>
      </c>
      <c r="J603" t="s">
        <v>58</v>
      </c>
    </row>
    <row r="604" spans="1:10" x14ac:dyDescent="0.25">
      <c r="A604" t="s">
        <v>140</v>
      </c>
      <c r="B604" t="s">
        <v>26</v>
      </c>
      <c r="F604">
        <v>0</v>
      </c>
      <c r="H604" t="s">
        <v>13</v>
      </c>
      <c r="I604" t="s">
        <v>142</v>
      </c>
      <c r="J604" t="s">
        <v>58</v>
      </c>
    </row>
    <row r="605" spans="1:10" x14ac:dyDescent="0.25">
      <c r="A605" t="s">
        <v>140</v>
      </c>
      <c r="B605" t="s">
        <v>27</v>
      </c>
      <c r="C605">
        <v>4</v>
      </c>
      <c r="D605">
        <v>16</v>
      </c>
      <c r="E605">
        <v>22</v>
      </c>
      <c r="F605">
        <v>1</v>
      </c>
      <c r="G605" t="s">
        <v>20</v>
      </c>
      <c r="H605" t="s">
        <v>13</v>
      </c>
      <c r="I605" t="s">
        <v>142</v>
      </c>
      <c r="J605" t="s">
        <v>58</v>
      </c>
    </row>
    <row r="606" spans="1:10" x14ac:dyDescent="0.25">
      <c r="A606" t="s">
        <v>140</v>
      </c>
      <c r="B606" t="s">
        <v>28</v>
      </c>
      <c r="C606">
        <v>4</v>
      </c>
      <c r="D606">
        <v>16</v>
      </c>
      <c r="E606">
        <v>22</v>
      </c>
      <c r="F606">
        <v>1</v>
      </c>
      <c r="G606" t="s">
        <v>22</v>
      </c>
      <c r="H606" t="s">
        <v>13</v>
      </c>
      <c r="I606" t="s">
        <v>142</v>
      </c>
      <c r="J606" t="s">
        <v>58</v>
      </c>
    </row>
    <row r="607" spans="1:10" x14ac:dyDescent="0.25">
      <c r="A607" t="s">
        <v>140</v>
      </c>
      <c r="B607" t="s">
        <v>30</v>
      </c>
      <c r="C607">
        <v>5</v>
      </c>
      <c r="D607">
        <v>17</v>
      </c>
      <c r="E607">
        <v>22</v>
      </c>
      <c r="F607">
        <v>2</v>
      </c>
      <c r="G607" t="s">
        <v>48</v>
      </c>
      <c r="H607" t="s">
        <v>13</v>
      </c>
      <c r="I607" t="s">
        <v>142</v>
      </c>
      <c r="J607" t="s">
        <v>58</v>
      </c>
    </row>
    <row r="608" spans="1:10" x14ac:dyDescent="0.25">
      <c r="A608" t="s">
        <v>140</v>
      </c>
      <c r="B608" t="s">
        <v>31</v>
      </c>
      <c r="C608">
        <v>4</v>
      </c>
      <c r="D608">
        <v>20</v>
      </c>
      <c r="E608">
        <v>23</v>
      </c>
      <c r="F608">
        <v>1</v>
      </c>
      <c r="G608" t="s">
        <v>20</v>
      </c>
      <c r="H608" t="s">
        <v>13</v>
      </c>
      <c r="I608" t="s">
        <v>142</v>
      </c>
      <c r="J608" t="s">
        <v>58</v>
      </c>
    </row>
    <row r="609" spans="1:10" x14ac:dyDescent="0.25">
      <c r="A609" t="s">
        <v>140</v>
      </c>
      <c r="B609" t="s">
        <v>32</v>
      </c>
      <c r="F609">
        <v>0</v>
      </c>
      <c r="H609" t="s">
        <v>13</v>
      </c>
      <c r="I609" t="s">
        <v>142</v>
      </c>
      <c r="J609" t="s">
        <v>58</v>
      </c>
    </row>
    <row r="610" spans="1:10" x14ac:dyDescent="0.25">
      <c r="A610" t="s">
        <v>140</v>
      </c>
      <c r="B610" t="s">
        <v>33</v>
      </c>
      <c r="F610">
        <v>0</v>
      </c>
      <c r="H610" t="s">
        <v>13</v>
      </c>
      <c r="I610" t="s">
        <v>142</v>
      </c>
      <c r="J610" t="s">
        <v>58</v>
      </c>
    </row>
    <row r="611" spans="1:10" x14ac:dyDescent="0.25">
      <c r="A611" t="s">
        <v>140</v>
      </c>
      <c r="B611" t="s">
        <v>34</v>
      </c>
      <c r="F611">
        <v>0</v>
      </c>
      <c r="H611" t="s">
        <v>13</v>
      </c>
      <c r="I611" t="s">
        <v>142</v>
      </c>
      <c r="J611" t="s">
        <v>58</v>
      </c>
    </row>
    <row r="612" spans="1:10" x14ac:dyDescent="0.25">
      <c r="A612" t="s">
        <v>140</v>
      </c>
      <c r="B612" t="s">
        <v>35</v>
      </c>
      <c r="C612">
        <v>5</v>
      </c>
      <c r="D612">
        <v>15</v>
      </c>
      <c r="E612">
        <v>23</v>
      </c>
      <c r="F612">
        <v>2</v>
      </c>
      <c r="G612" t="s">
        <v>29</v>
      </c>
      <c r="H612" t="s">
        <v>13</v>
      </c>
      <c r="I612" t="s">
        <v>142</v>
      </c>
      <c r="J612" t="s">
        <v>58</v>
      </c>
    </row>
    <row r="613" spans="1:10" x14ac:dyDescent="0.25">
      <c r="A613" t="s">
        <v>140</v>
      </c>
      <c r="B613" t="s">
        <v>36</v>
      </c>
      <c r="C613">
        <v>3</v>
      </c>
      <c r="D613">
        <v>14</v>
      </c>
      <c r="E613">
        <v>23</v>
      </c>
      <c r="F613">
        <v>1</v>
      </c>
      <c r="G613" t="s">
        <v>18</v>
      </c>
      <c r="H613" t="s">
        <v>13</v>
      </c>
      <c r="I613" t="s">
        <v>142</v>
      </c>
      <c r="J613" t="s">
        <v>58</v>
      </c>
    </row>
    <row r="614" spans="1:10" x14ac:dyDescent="0.25">
      <c r="A614" t="s">
        <v>140</v>
      </c>
      <c r="B614" t="s">
        <v>37</v>
      </c>
      <c r="C614">
        <v>5</v>
      </c>
      <c r="D614">
        <v>14</v>
      </c>
      <c r="E614">
        <v>22</v>
      </c>
      <c r="F614">
        <v>5</v>
      </c>
      <c r="G614" t="s">
        <v>68</v>
      </c>
      <c r="H614" t="s">
        <v>13</v>
      </c>
      <c r="I614" t="s">
        <v>142</v>
      </c>
      <c r="J614" t="s">
        <v>58</v>
      </c>
    </row>
    <row r="615" spans="1:10" x14ac:dyDescent="0.25">
      <c r="A615" t="s">
        <v>140</v>
      </c>
      <c r="B615" t="s">
        <v>16</v>
      </c>
      <c r="F615">
        <v>0</v>
      </c>
      <c r="H615" t="s">
        <v>13</v>
      </c>
      <c r="I615" t="s">
        <v>142</v>
      </c>
      <c r="J615" t="s">
        <v>58</v>
      </c>
    </row>
    <row r="616" spans="1:10" x14ac:dyDescent="0.25">
      <c r="A616" t="s">
        <v>140</v>
      </c>
      <c r="B616" t="s">
        <v>38</v>
      </c>
      <c r="C616">
        <v>5</v>
      </c>
      <c r="D616">
        <v>22</v>
      </c>
      <c r="E616">
        <v>22</v>
      </c>
      <c r="F616">
        <v>17</v>
      </c>
      <c r="G616" t="s">
        <v>144</v>
      </c>
      <c r="H616" t="s">
        <v>13</v>
      </c>
      <c r="I616" t="s">
        <v>142</v>
      </c>
      <c r="J616" t="s">
        <v>58</v>
      </c>
    </row>
    <row r="617" spans="1:10" x14ac:dyDescent="0.25">
      <c r="A617" t="s">
        <v>140</v>
      </c>
      <c r="B617" t="s">
        <v>16</v>
      </c>
      <c r="F617">
        <v>0</v>
      </c>
      <c r="H617" t="s">
        <v>13</v>
      </c>
      <c r="I617" t="s">
        <v>142</v>
      </c>
      <c r="J617" t="s">
        <v>58</v>
      </c>
    </row>
    <row r="618" spans="1:10" x14ac:dyDescent="0.25">
      <c r="A618" t="s">
        <v>140</v>
      </c>
      <c r="B618" t="s">
        <v>40</v>
      </c>
      <c r="D618">
        <v>21</v>
      </c>
      <c r="E618">
        <v>23</v>
      </c>
      <c r="F618">
        <v>0</v>
      </c>
      <c r="G618" t="s">
        <v>145</v>
      </c>
      <c r="H618" t="s">
        <v>13</v>
      </c>
      <c r="I618" t="s">
        <v>142</v>
      </c>
      <c r="J618" t="s">
        <v>58</v>
      </c>
    </row>
    <row r="619" spans="1:10" x14ac:dyDescent="0.25">
      <c r="A619" t="s">
        <v>140</v>
      </c>
      <c r="B619" t="s">
        <v>41</v>
      </c>
      <c r="C619">
        <v>3</v>
      </c>
      <c r="D619">
        <v>12</v>
      </c>
      <c r="E619">
        <v>23</v>
      </c>
      <c r="F619">
        <v>1</v>
      </c>
      <c r="G619" t="s">
        <v>18</v>
      </c>
      <c r="H619" t="s">
        <v>13</v>
      </c>
      <c r="I619" t="s">
        <v>142</v>
      </c>
      <c r="J619" t="s">
        <v>58</v>
      </c>
    </row>
    <row r="620" spans="1:10" x14ac:dyDescent="0.25">
      <c r="A620" t="s">
        <v>140</v>
      </c>
      <c r="B620" t="s">
        <v>42</v>
      </c>
      <c r="C620">
        <v>4</v>
      </c>
      <c r="D620">
        <v>19</v>
      </c>
      <c r="E620">
        <v>22</v>
      </c>
      <c r="F620">
        <v>2</v>
      </c>
      <c r="G620" t="s">
        <v>39</v>
      </c>
      <c r="H620" t="s">
        <v>13</v>
      </c>
      <c r="I620" t="s">
        <v>142</v>
      </c>
      <c r="J620" t="s">
        <v>58</v>
      </c>
    </row>
    <row r="621" spans="1:10" x14ac:dyDescent="0.25">
      <c r="A621" t="s">
        <v>140</v>
      </c>
      <c r="B621" t="s">
        <v>16</v>
      </c>
      <c r="F621">
        <v>0</v>
      </c>
      <c r="H621" t="s">
        <v>13</v>
      </c>
      <c r="I621" t="s">
        <v>142</v>
      </c>
      <c r="J621" t="s">
        <v>58</v>
      </c>
    </row>
    <row r="622" spans="1:10" x14ac:dyDescent="0.25">
      <c r="A622" t="s">
        <v>140</v>
      </c>
      <c r="B622" t="s">
        <v>43</v>
      </c>
      <c r="C622">
        <v>3</v>
      </c>
      <c r="D622">
        <v>18</v>
      </c>
      <c r="E622">
        <v>22</v>
      </c>
      <c r="F622">
        <v>2</v>
      </c>
      <c r="G622" t="s">
        <v>84</v>
      </c>
      <c r="H622" t="s">
        <v>13</v>
      </c>
      <c r="I622" t="s">
        <v>142</v>
      </c>
      <c r="J622" t="s">
        <v>58</v>
      </c>
    </row>
    <row r="623" spans="1:10" x14ac:dyDescent="0.25">
      <c r="A623" t="s">
        <v>146</v>
      </c>
      <c r="B623" t="s">
        <v>11</v>
      </c>
      <c r="C623">
        <v>4</v>
      </c>
      <c r="D623">
        <v>6</v>
      </c>
      <c r="E623">
        <v>6</v>
      </c>
      <c r="F623">
        <v>1</v>
      </c>
      <c r="G623" t="s">
        <v>22</v>
      </c>
      <c r="H623" t="s">
        <v>13</v>
      </c>
      <c r="I623" t="s">
        <v>147</v>
      </c>
      <c r="J623" t="s">
        <v>15</v>
      </c>
    </row>
    <row r="624" spans="1:10" x14ac:dyDescent="0.25">
      <c r="A624" t="s">
        <v>146</v>
      </c>
      <c r="B624" t="s">
        <v>16</v>
      </c>
      <c r="F624">
        <v>0</v>
      </c>
      <c r="H624" t="s">
        <v>13</v>
      </c>
      <c r="I624" t="s">
        <v>147</v>
      </c>
      <c r="J624" t="s">
        <v>15</v>
      </c>
    </row>
    <row r="625" spans="1:10" x14ac:dyDescent="0.25">
      <c r="A625" t="s">
        <v>146</v>
      </c>
      <c r="B625" t="s">
        <v>17</v>
      </c>
      <c r="C625">
        <v>1</v>
      </c>
      <c r="D625">
        <v>5</v>
      </c>
      <c r="E625">
        <v>6</v>
      </c>
      <c r="F625">
        <v>1</v>
      </c>
      <c r="G625" t="s">
        <v>39</v>
      </c>
      <c r="H625" t="s">
        <v>13</v>
      </c>
      <c r="I625" t="s">
        <v>147</v>
      </c>
      <c r="J625" t="s">
        <v>15</v>
      </c>
    </row>
    <row r="626" spans="1:10" x14ac:dyDescent="0.25">
      <c r="A626" t="s">
        <v>146</v>
      </c>
      <c r="B626" t="s">
        <v>19</v>
      </c>
      <c r="C626">
        <v>4</v>
      </c>
      <c r="D626">
        <v>5</v>
      </c>
      <c r="E626">
        <v>6</v>
      </c>
      <c r="F626">
        <v>4</v>
      </c>
      <c r="G626" t="s">
        <v>129</v>
      </c>
      <c r="H626" t="s">
        <v>13</v>
      </c>
      <c r="I626" t="s">
        <v>147</v>
      </c>
      <c r="J626" t="s">
        <v>15</v>
      </c>
    </row>
    <row r="627" spans="1:10" x14ac:dyDescent="0.25">
      <c r="A627" t="s">
        <v>146</v>
      </c>
      <c r="B627" t="s">
        <v>21</v>
      </c>
      <c r="C627">
        <v>4</v>
      </c>
      <c r="D627">
        <v>3</v>
      </c>
      <c r="E627">
        <v>6</v>
      </c>
      <c r="F627">
        <v>1</v>
      </c>
      <c r="G627" t="s">
        <v>20</v>
      </c>
      <c r="H627" t="s">
        <v>13</v>
      </c>
      <c r="I627" t="s">
        <v>147</v>
      </c>
      <c r="J627" t="s">
        <v>15</v>
      </c>
    </row>
    <row r="628" spans="1:10" x14ac:dyDescent="0.25">
      <c r="A628" t="s">
        <v>146</v>
      </c>
      <c r="B628" t="s">
        <v>16</v>
      </c>
      <c r="F628">
        <v>0</v>
      </c>
      <c r="H628" t="s">
        <v>13</v>
      </c>
      <c r="I628" t="s">
        <v>147</v>
      </c>
      <c r="J628" t="s">
        <v>15</v>
      </c>
    </row>
    <row r="629" spans="1:10" x14ac:dyDescent="0.25">
      <c r="A629" t="s">
        <v>146</v>
      </c>
      <c r="B629" t="s">
        <v>23</v>
      </c>
      <c r="C629">
        <v>4</v>
      </c>
      <c r="D629">
        <v>6</v>
      </c>
      <c r="E629">
        <v>6</v>
      </c>
      <c r="F629">
        <v>2</v>
      </c>
      <c r="G629" t="s">
        <v>79</v>
      </c>
      <c r="H629" t="s">
        <v>13</v>
      </c>
      <c r="I629" t="s">
        <v>147</v>
      </c>
      <c r="J629" t="s">
        <v>15</v>
      </c>
    </row>
    <row r="630" spans="1:10" x14ac:dyDescent="0.25">
      <c r="A630" t="s">
        <v>146</v>
      </c>
      <c r="B630" t="s">
        <v>24</v>
      </c>
      <c r="C630">
        <v>4</v>
      </c>
      <c r="D630">
        <v>5</v>
      </c>
      <c r="E630">
        <v>6</v>
      </c>
      <c r="F630">
        <v>1</v>
      </c>
      <c r="G630" t="s">
        <v>25</v>
      </c>
      <c r="H630" t="s">
        <v>13</v>
      </c>
      <c r="I630" t="s">
        <v>147</v>
      </c>
      <c r="J630" t="s">
        <v>15</v>
      </c>
    </row>
    <row r="631" spans="1:10" x14ac:dyDescent="0.25">
      <c r="A631" t="s">
        <v>146</v>
      </c>
      <c r="B631" t="s">
        <v>26</v>
      </c>
      <c r="F631">
        <v>0</v>
      </c>
      <c r="H631" t="s">
        <v>13</v>
      </c>
      <c r="I631" t="s">
        <v>147</v>
      </c>
      <c r="J631" t="s">
        <v>15</v>
      </c>
    </row>
    <row r="632" spans="1:10" x14ac:dyDescent="0.25">
      <c r="A632" t="s">
        <v>146</v>
      </c>
      <c r="B632" t="s">
        <v>27</v>
      </c>
      <c r="C632">
        <v>3</v>
      </c>
      <c r="D632">
        <v>6</v>
      </c>
      <c r="E632">
        <v>6</v>
      </c>
      <c r="F632">
        <v>1</v>
      </c>
      <c r="G632" t="s">
        <v>18</v>
      </c>
      <c r="H632" t="s">
        <v>13</v>
      </c>
      <c r="I632" t="s">
        <v>147</v>
      </c>
      <c r="J632" t="s">
        <v>15</v>
      </c>
    </row>
    <row r="633" spans="1:10" x14ac:dyDescent="0.25">
      <c r="A633" t="s">
        <v>146</v>
      </c>
      <c r="B633" t="s">
        <v>28</v>
      </c>
      <c r="C633">
        <v>5</v>
      </c>
      <c r="D633">
        <v>4</v>
      </c>
      <c r="E633">
        <v>6</v>
      </c>
      <c r="F633">
        <v>2</v>
      </c>
      <c r="G633" t="s">
        <v>53</v>
      </c>
      <c r="H633" t="s">
        <v>13</v>
      </c>
      <c r="I633" t="s">
        <v>147</v>
      </c>
      <c r="J633" t="s">
        <v>15</v>
      </c>
    </row>
    <row r="634" spans="1:10" x14ac:dyDescent="0.25">
      <c r="A634" t="s">
        <v>146</v>
      </c>
      <c r="B634" t="s">
        <v>30</v>
      </c>
      <c r="C634">
        <v>5</v>
      </c>
      <c r="D634">
        <v>4</v>
      </c>
      <c r="E634">
        <v>6</v>
      </c>
      <c r="F634">
        <v>2</v>
      </c>
      <c r="G634" t="s">
        <v>52</v>
      </c>
      <c r="H634" t="s">
        <v>13</v>
      </c>
      <c r="I634" t="s">
        <v>147</v>
      </c>
      <c r="J634" t="s">
        <v>15</v>
      </c>
    </row>
    <row r="635" spans="1:10" x14ac:dyDescent="0.25">
      <c r="A635" t="s">
        <v>146</v>
      </c>
      <c r="B635" t="s">
        <v>31</v>
      </c>
      <c r="C635">
        <v>3</v>
      </c>
      <c r="D635">
        <v>4</v>
      </c>
      <c r="E635">
        <v>6</v>
      </c>
      <c r="F635">
        <v>1</v>
      </c>
      <c r="G635" t="s">
        <v>18</v>
      </c>
      <c r="H635" t="s">
        <v>13</v>
      </c>
      <c r="I635" t="s">
        <v>147</v>
      </c>
      <c r="J635" t="s">
        <v>15</v>
      </c>
    </row>
    <row r="636" spans="1:10" x14ac:dyDescent="0.25">
      <c r="A636" t="s">
        <v>146</v>
      </c>
      <c r="B636" t="s">
        <v>32</v>
      </c>
      <c r="F636">
        <v>0</v>
      </c>
      <c r="H636" t="s">
        <v>13</v>
      </c>
      <c r="I636" t="s">
        <v>147</v>
      </c>
      <c r="J636" t="s">
        <v>15</v>
      </c>
    </row>
    <row r="637" spans="1:10" x14ac:dyDescent="0.25">
      <c r="A637" t="s">
        <v>146</v>
      </c>
      <c r="B637" t="s">
        <v>33</v>
      </c>
      <c r="F637">
        <v>0</v>
      </c>
      <c r="H637" t="s">
        <v>13</v>
      </c>
      <c r="I637" t="s">
        <v>147</v>
      </c>
      <c r="J637" t="s">
        <v>15</v>
      </c>
    </row>
    <row r="638" spans="1:10" x14ac:dyDescent="0.25">
      <c r="A638" t="s">
        <v>146</v>
      </c>
      <c r="B638" t="s">
        <v>34</v>
      </c>
      <c r="F638">
        <v>0</v>
      </c>
      <c r="H638" t="s">
        <v>13</v>
      </c>
      <c r="I638" t="s">
        <v>147</v>
      </c>
      <c r="J638" t="s">
        <v>15</v>
      </c>
    </row>
    <row r="639" spans="1:10" x14ac:dyDescent="0.25">
      <c r="A639" t="s">
        <v>146</v>
      </c>
      <c r="B639" t="s">
        <v>35</v>
      </c>
      <c r="C639">
        <v>1</v>
      </c>
      <c r="D639">
        <v>2</v>
      </c>
      <c r="E639">
        <v>6</v>
      </c>
      <c r="F639">
        <v>1</v>
      </c>
      <c r="G639" t="s">
        <v>39</v>
      </c>
      <c r="H639" t="s">
        <v>13</v>
      </c>
      <c r="I639" t="s">
        <v>147</v>
      </c>
      <c r="J639" t="s">
        <v>15</v>
      </c>
    </row>
    <row r="640" spans="1:10" x14ac:dyDescent="0.25">
      <c r="A640" t="s">
        <v>146</v>
      </c>
      <c r="B640" t="s">
        <v>36</v>
      </c>
      <c r="C640">
        <v>4</v>
      </c>
      <c r="D640">
        <v>4</v>
      </c>
      <c r="E640">
        <v>6</v>
      </c>
      <c r="F640">
        <v>1</v>
      </c>
      <c r="G640" t="s">
        <v>20</v>
      </c>
      <c r="H640" t="s">
        <v>13</v>
      </c>
      <c r="I640" t="s">
        <v>147</v>
      </c>
      <c r="J640" t="s">
        <v>15</v>
      </c>
    </row>
    <row r="641" spans="1:10" x14ac:dyDescent="0.25">
      <c r="A641" t="s">
        <v>146</v>
      </c>
      <c r="B641" t="s">
        <v>37</v>
      </c>
      <c r="C641">
        <v>3</v>
      </c>
      <c r="D641">
        <v>6</v>
      </c>
      <c r="E641">
        <v>6</v>
      </c>
      <c r="F641">
        <v>2</v>
      </c>
      <c r="G641" t="s">
        <v>148</v>
      </c>
      <c r="H641" t="s">
        <v>13</v>
      </c>
      <c r="I641" t="s">
        <v>147</v>
      </c>
      <c r="J641" t="s">
        <v>15</v>
      </c>
    </row>
    <row r="642" spans="1:10" x14ac:dyDescent="0.25">
      <c r="A642" t="s">
        <v>146</v>
      </c>
      <c r="B642" t="s">
        <v>16</v>
      </c>
      <c r="F642">
        <v>0</v>
      </c>
      <c r="H642" t="s">
        <v>13</v>
      </c>
      <c r="I642" t="s">
        <v>147</v>
      </c>
      <c r="J642" t="s">
        <v>15</v>
      </c>
    </row>
    <row r="643" spans="1:10" x14ac:dyDescent="0.25">
      <c r="A643" t="s">
        <v>146</v>
      </c>
      <c r="B643" t="s">
        <v>38</v>
      </c>
      <c r="C643">
        <v>4</v>
      </c>
      <c r="D643">
        <v>6</v>
      </c>
      <c r="E643">
        <v>6</v>
      </c>
      <c r="F643">
        <v>1</v>
      </c>
      <c r="G643" t="s">
        <v>149</v>
      </c>
      <c r="H643" t="s">
        <v>13</v>
      </c>
      <c r="I643" t="s">
        <v>147</v>
      </c>
      <c r="J643" t="s">
        <v>15</v>
      </c>
    </row>
    <row r="644" spans="1:10" x14ac:dyDescent="0.25">
      <c r="A644" t="s">
        <v>146</v>
      </c>
      <c r="B644" t="s">
        <v>16</v>
      </c>
      <c r="F644">
        <v>0</v>
      </c>
      <c r="H644" t="s">
        <v>13</v>
      </c>
      <c r="I644" t="s">
        <v>147</v>
      </c>
      <c r="J644" t="s">
        <v>15</v>
      </c>
    </row>
    <row r="645" spans="1:10" x14ac:dyDescent="0.25">
      <c r="A645" t="s">
        <v>146</v>
      </c>
      <c r="B645" t="s">
        <v>40</v>
      </c>
      <c r="C645">
        <v>4</v>
      </c>
      <c r="D645">
        <v>6</v>
      </c>
      <c r="E645">
        <v>6</v>
      </c>
      <c r="F645">
        <v>1</v>
      </c>
      <c r="G645" t="s">
        <v>22</v>
      </c>
      <c r="H645" t="s">
        <v>13</v>
      </c>
      <c r="I645" t="s">
        <v>147</v>
      </c>
      <c r="J645" t="s">
        <v>15</v>
      </c>
    </row>
    <row r="646" spans="1:10" x14ac:dyDescent="0.25">
      <c r="A646" t="s">
        <v>146</v>
      </c>
      <c r="B646" t="s">
        <v>41</v>
      </c>
      <c r="C646">
        <v>4</v>
      </c>
      <c r="D646">
        <v>4</v>
      </c>
      <c r="E646">
        <v>6</v>
      </c>
      <c r="F646">
        <v>1</v>
      </c>
      <c r="G646" t="s">
        <v>20</v>
      </c>
      <c r="H646" t="s">
        <v>13</v>
      </c>
      <c r="I646" t="s">
        <v>147</v>
      </c>
      <c r="J646" t="s">
        <v>15</v>
      </c>
    </row>
    <row r="647" spans="1:10" x14ac:dyDescent="0.25">
      <c r="A647" t="s">
        <v>146</v>
      </c>
      <c r="B647" t="s">
        <v>42</v>
      </c>
      <c r="C647">
        <v>5</v>
      </c>
      <c r="D647">
        <v>6</v>
      </c>
      <c r="E647">
        <v>6</v>
      </c>
      <c r="F647">
        <v>1</v>
      </c>
      <c r="G647" t="s">
        <v>44</v>
      </c>
      <c r="H647" t="s">
        <v>13</v>
      </c>
      <c r="I647" t="s">
        <v>147</v>
      </c>
      <c r="J647" t="s">
        <v>15</v>
      </c>
    </row>
    <row r="648" spans="1:10" x14ac:dyDescent="0.25">
      <c r="A648" t="s">
        <v>146</v>
      </c>
      <c r="B648" t="s">
        <v>16</v>
      </c>
      <c r="F648">
        <v>0</v>
      </c>
      <c r="H648" t="s">
        <v>13</v>
      </c>
      <c r="I648" t="s">
        <v>147</v>
      </c>
      <c r="J648" t="s">
        <v>15</v>
      </c>
    </row>
    <row r="649" spans="1:10" x14ac:dyDescent="0.25">
      <c r="A649" t="s">
        <v>146</v>
      </c>
      <c r="B649" t="s">
        <v>43</v>
      </c>
      <c r="C649">
        <v>5</v>
      </c>
      <c r="D649">
        <v>6</v>
      </c>
      <c r="E649">
        <v>6</v>
      </c>
      <c r="F649">
        <v>2</v>
      </c>
      <c r="G649" t="s">
        <v>29</v>
      </c>
      <c r="H649" t="s">
        <v>13</v>
      </c>
      <c r="I649" t="s">
        <v>147</v>
      </c>
      <c r="J649" t="s">
        <v>15</v>
      </c>
    </row>
    <row r="650" spans="1:10" x14ac:dyDescent="0.25">
      <c r="A650" t="s">
        <v>150</v>
      </c>
      <c r="B650" t="s">
        <v>11</v>
      </c>
      <c r="C650">
        <v>4</v>
      </c>
      <c r="D650">
        <v>5</v>
      </c>
      <c r="E650">
        <v>5</v>
      </c>
      <c r="F650">
        <v>1</v>
      </c>
      <c r="G650" t="s">
        <v>47</v>
      </c>
      <c r="H650" t="s">
        <v>13</v>
      </c>
      <c r="I650" t="s">
        <v>151</v>
      </c>
      <c r="J650" t="s">
        <v>15</v>
      </c>
    </row>
    <row r="651" spans="1:10" x14ac:dyDescent="0.25">
      <c r="A651" t="s">
        <v>150</v>
      </c>
      <c r="B651" t="s">
        <v>16</v>
      </c>
      <c r="F651">
        <v>0</v>
      </c>
      <c r="H651" t="s">
        <v>13</v>
      </c>
      <c r="I651" t="s">
        <v>151</v>
      </c>
      <c r="J651" t="s">
        <v>15</v>
      </c>
    </row>
    <row r="652" spans="1:10" x14ac:dyDescent="0.25">
      <c r="A652" t="s">
        <v>150</v>
      </c>
      <c r="B652" t="s">
        <v>17</v>
      </c>
      <c r="C652">
        <v>4</v>
      </c>
      <c r="D652">
        <v>5</v>
      </c>
      <c r="E652">
        <v>5</v>
      </c>
      <c r="F652">
        <v>1</v>
      </c>
      <c r="G652" t="s">
        <v>47</v>
      </c>
      <c r="H652" t="s">
        <v>13</v>
      </c>
      <c r="I652" t="s">
        <v>151</v>
      </c>
      <c r="J652" t="s">
        <v>15</v>
      </c>
    </row>
    <row r="653" spans="1:10" x14ac:dyDescent="0.25">
      <c r="A653" t="s">
        <v>150</v>
      </c>
      <c r="B653" t="s">
        <v>19</v>
      </c>
      <c r="C653">
        <v>4</v>
      </c>
      <c r="D653">
        <v>5</v>
      </c>
      <c r="E653">
        <v>5</v>
      </c>
      <c r="F653">
        <v>2</v>
      </c>
      <c r="G653" t="s">
        <v>25</v>
      </c>
      <c r="H653" t="s">
        <v>13</v>
      </c>
      <c r="I653" t="s">
        <v>151</v>
      </c>
      <c r="J653" t="s">
        <v>15</v>
      </c>
    </row>
    <row r="654" spans="1:10" x14ac:dyDescent="0.25">
      <c r="A654" t="s">
        <v>150</v>
      </c>
      <c r="B654" t="s">
        <v>21</v>
      </c>
      <c r="C654">
        <v>4</v>
      </c>
      <c r="D654">
        <v>2</v>
      </c>
      <c r="E654">
        <v>5</v>
      </c>
      <c r="F654">
        <v>1</v>
      </c>
      <c r="G654" t="s">
        <v>47</v>
      </c>
      <c r="H654" t="s">
        <v>13</v>
      </c>
      <c r="I654" t="s">
        <v>151</v>
      </c>
      <c r="J654" t="s">
        <v>15</v>
      </c>
    </row>
    <row r="655" spans="1:10" x14ac:dyDescent="0.25">
      <c r="A655" t="s">
        <v>150</v>
      </c>
      <c r="B655" t="s">
        <v>16</v>
      </c>
      <c r="F655">
        <v>0</v>
      </c>
      <c r="H655" t="s">
        <v>13</v>
      </c>
      <c r="I655" t="s">
        <v>151</v>
      </c>
      <c r="J655" t="s">
        <v>15</v>
      </c>
    </row>
    <row r="656" spans="1:10" x14ac:dyDescent="0.25">
      <c r="A656" t="s">
        <v>150</v>
      </c>
      <c r="B656" t="s">
        <v>23</v>
      </c>
      <c r="F656">
        <v>1</v>
      </c>
      <c r="G656" t="s">
        <v>47</v>
      </c>
      <c r="H656" t="s">
        <v>13</v>
      </c>
      <c r="I656" t="s">
        <v>151</v>
      </c>
      <c r="J656" t="s">
        <v>15</v>
      </c>
    </row>
    <row r="657" spans="1:10" x14ac:dyDescent="0.25">
      <c r="A657" t="s">
        <v>150</v>
      </c>
      <c r="B657" t="s">
        <v>24</v>
      </c>
      <c r="C657">
        <v>4</v>
      </c>
      <c r="D657">
        <v>5</v>
      </c>
      <c r="E657">
        <v>5</v>
      </c>
      <c r="F657">
        <v>1</v>
      </c>
      <c r="G657" t="s">
        <v>47</v>
      </c>
      <c r="H657" t="s">
        <v>13</v>
      </c>
      <c r="I657" t="s">
        <v>151</v>
      </c>
      <c r="J657" t="s">
        <v>15</v>
      </c>
    </row>
    <row r="658" spans="1:10" x14ac:dyDescent="0.25">
      <c r="A658" t="s">
        <v>150</v>
      </c>
      <c r="B658" t="s">
        <v>26</v>
      </c>
      <c r="F658">
        <v>0</v>
      </c>
      <c r="H658" t="s">
        <v>13</v>
      </c>
      <c r="I658" t="s">
        <v>151</v>
      </c>
      <c r="J658" t="s">
        <v>15</v>
      </c>
    </row>
    <row r="659" spans="1:10" x14ac:dyDescent="0.25">
      <c r="A659" t="s">
        <v>150</v>
      </c>
      <c r="B659" t="s">
        <v>27</v>
      </c>
      <c r="C659">
        <v>4</v>
      </c>
      <c r="D659">
        <v>4</v>
      </c>
      <c r="E659">
        <v>5</v>
      </c>
      <c r="F659">
        <v>1</v>
      </c>
      <c r="G659" t="s">
        <v>47</v>
      </c>
      <c r="H659" t="s">
        <v>13</v>
      </c>
      <c r="I659" t="s">
        <v>151</v>
      </c>
      <c r="J659" t="s">
        <v>15</v>
      </c>
    </row>
    <row r="660" spans="1:10" x14ac:dyDescent="0.25">
      <c r="A660" t="s">
        <v>150</v>
      </c>
      <c r="B660" t="s">
        <v>28</v>
      </c>
      <c r="C660">
        <v>4</v>
      </c>
      <c r="D660">
        <v>5</v>
      </c>
      <c r="E660">
        <v>5</v>
      </c>
      <c r="F660">
        <v>2</v>
      </c>
      <c r="G660" t="s">
        <v>22</v>
      </c>
      <c r="H660" t="s">
        <v>13</v>
      </c>
      <c r="I660" t="s">
        <v>151</v>
      </c>
      <c r="J660" t="s">
        <v>15</v>
      </c>
    </row>
    <row r="661" spans="1:10" x14ac:dyDescent="0.25">
      <c r="A661" t="s">
        <v>150</v>
      </c>
      <c r="B661" t="s">
        <v>30</v>
      </c>
      <c r="C661">
        <v>4</v>
      </c>
      <c r="D661">
        <v>5</v>
      </c>
      <c r="E661">
        <v>5</v>
      </c>
      <c r="F661">
        <v>1</v>
      </c>
      <c r="G661" t="s">
        <v>47</v>
      </c>
      <c r="H661" t="s">
        <v>13</v>
      </c>
      <c r="I661" t="s">
        <v>151</v>
      </c>
      <c r="J661" t="s">
        <v>15</v>
      </c>
    </row>
    <row r="662" spans="1:10" x14ac:dyDescent="0.25">
      <c r="A662" t="s">
        <v>150</v>
      </c>
      <c r="B662" t="s">
        <v>31</v>
      </c>
      <c r="C662">
        <v>4</v>
      </c>
      <c r="D662">
        <v>5</v>
      </c>
      <c r="E662">
        <v>5</v>
      </c>
      <c r="F662">
        <v>1</v>
      </c>
      <c r="G662" t="s">
        <v>47</v>
      </c>
      <c r="H662" t="s">
        <v>13</v>
      </c>
      <c r="I662" t="s">
        <v>151</v>
      </c>
      <c r="J662" t="s">
        <v>15</v>
      </c>
    </row>
    <row r="663" spans="1:10" x14ac:dyDescent="0.25">
      <c r="A663" t="s">
        <v>150</v>
      </c>
      <c r="B663" t="s">
        <v>32</v>
      </c>
      <c r="F663">
        <v>0</v>
      </c>
      <c r="H663" t="s">
        <v>13</v>
      </c>
      <c r="I663" t="s">
        <v>151</v>
      </c>
      <c r="J663" t="s">
        <v>15</v>
      </c>
    </row>
    <row r="664" spans="1:10" x14ac:dyDescent="0.25">
      <c r="A664" t="s">
        <v>150</v>
      </c>
      <c r="B664" t="s">
        <v>33</v>
      </c>
      <c r="F664">
        <v>0</v>
      </c>
      <c r="H664" t="s">
        <v>13</v>
      </c>
      <c r="I664" t="s">
        <v>151</v>
      </c>
      <c r="J664" t="s">
        <v>15</v>
      </c>
    </row>
    <row r="665" spans="1:10" x14ac:dyDescent="0.25">
      <c r="A665" t="s">
        <v>150</v>
      </c>
      <c r="B665" t="s">
        <v>34</v>
      </c>
      <c r="F665">
        <v>0</v>
      </c>
      <c r="H665" t="s">
        <v>13</v>
      </c>
      <c r="I665" t="s">
        <v>151</v>
      </c>
      <c r="J665" t="s">
        <v>15</v>
      </c>
    </row>
    <row r="666" spans="1:10" x14ac:dyDescent="0.25">
      <c r="A666" t="s">
        <v>150</v>
      </c>
      <c r="B666" t="s">
        <v>35</v>
      </c>
      <c r="C666">
        <v>5</v>
      </c>
      <c r="D666">
        <v>3</v>
      </c>
      <c r="E666">
        <v>5</v>
      </c>
      <c r="F666">
        <v>4</v>
      </c>
      <c r="G666" t="s">
        <v>18</v>
      </c>
      <c r="H666" t="s">
        <v>13</v>
      </c>
      <c r="I666" t="s">
        <v>151</v>
      </c>
      <c r="J666" t="s">
        <v>15</v>
      </c>
    </row>
    <row r="667" spans="1:10" x14ac:dyDescent="0.25">
      <c r="A667" t="s">
        <v>150</v>
      </c>
      <c r="B667" t="s">
        <v>36</v>
      </c>
      <c r="C667">
        <v>4</v>
      </c>
      <c r="D667">
        <v>4</v>
      </c>
      <c r="E667">
        <v>5</v>
      </c>
      <c r="F667">
        <v>1</v>
      </c>
      <c r="G667" t="s">
        <v>47</v>
      </c>
      <c r="H667" t="s">
        <v>13</v>
      </c>
      <c r="I667" t="s">
        <v>151</v>
      </c>
      <c r="J667" t="s">
        <v>15</v>
      </c>
    </row>
    <row r="668" spans="1:10" x14ac:dyDescent="0.25">
      <c r="A668" t="s">
        <v>150</v>
      </c>
      <c r="B668" t="s">
        <v>37</v>
      </c>
      <c r="C668">
        <v>4</v>
      </c>
      <c r="D668">
        <v>5</v>
      </c>
      <c r="E668">
        <v>5</v>
      </c>
      <c r="F668">
        <v>2</v>
      </c>
      <c r="G668" t="s">
        <v>25</v>
      </c>
      <c r="H668" t="s">
        <v>13</v>
      </c>
      <c r="I668" t="s">
        <v>151</v>
      </c>
      <c r="J668" t="s">
        <v>15</v>
      </c>
    </row>
    <row r="669" spans="1:10" x14ac:dyDescent="0.25">
      <c r="A669" t="s">
        <v>150</v>
      </c>
      <c r="B669" t="s">
        <v>16</v>
      </c>
      <c r="F669">
        <v>0</v>
      </c>
      <c r="H669" t="s">
        <v>13</v>
      </c>
      <c r="I669" t="s">
        <v>151</v>
      </c>
      <c r="J669" t="s">
        <v>15</v>
      </c>
    </row>
    <row r="670" spans="1:10" x14ac:dyDescent="0.25">
      <c r="A670" t="s">
        <v>150</v>
      </c>
      <c r="B670" t="s">
        <v>38</v>
      </c>
      <c r="C670">
        <v>5</v>
      </c>
      <c r="D670">
        <v>5</v>
      </c>
      <c r="E670">
        <v>5</v>
      </c>
      <c r="F670">
        <v>3</v>
      </c>
      <c r="G670" t="s">
        <v>12</v>
      </c>
      <c r="H670" t="s">
        <v>13</v>
      </c>
      <c r="I670" t="s">
        <v>151</v>
      </c>
      <c r="J670" t="s">
        <v>15</v>
      </c>
    </row>
    <row r="671" spans="1:10" x14ac:dyDescent="0.25">
      <c r="A671" t="s">
        <v>150</v>
      </c>
      <c r="B671" t="s">
        <v>16</v>
      </c>
      <c r="F671">
        <v>0</v>
      </c>
      <c r="H671" t="s">
        <v>13</v>
      </c>
      <c r="I671" t="s">
        <v>151</v>
      </c>
      <c r="J671" t="s">
        <v>15</v>
      </c>
    </row>
    <row r="672" spans="1:10" x14ac:dyDescent="0.25">
      <c r="A672" t="s">
        <v>150</v>
      </c>
      <c r="B672" t="s">
        <v>40</v>
      </c>
      <c r="C672">
        <v>4</v>
      </c>
      <c r="D672">
        <v>5</v>
      </c>
      <c r="E672">
        <v>5</v>
      </c>
      <c r="F672">
        <v>1</v>
      </c>
      <c r="G672" t="s">
        <v>47</v>
      </c>
      <c r="H672" t="s">
        <v>13</v>
      </c>
      <c r="I672" t="s">
        <v>151</v>
      </c>
      <c r="J672" t="s">
        <v>15</v>
      </c>
    </row>
    <row r="673" spans="1:10" x14ac:dyDescent="0.25">
      <c r="A673" t="s">
        <v>150</v>
      </c>
      <c r="B673" t="s">
        <v>41</v>
      </c>
      <c r="C673">
        <v>4</v>
      </c>
      <c r="D673">
        <v>3</v>
      </c>
      <c r="E673">
        <v>5</v>
      </c>
      <c r="F673">
        <v>1</v>
      </c>
      <c r="G673" t="s">
        <v>47</v>
      </c>
      <c r="H673" t="s">
        <v>13</v>
      </c>
      <c r="I673" t="s">
        <v>151</v>
      </c>
      <c r="J673" t="s">
        <v>15</v>
      </c>
    </row>
    <row r="674" spans="1:10" x14ac:dyDescent="0.25">
      <c r="A674" t="s">
        <v>150</v>
      </c>
      <c r="B674" t="s">
        <v>42</v>
      </c>
      <c r="C674">
        <v>5</v>
      </c>
      <c r="D674">
        <v>5</v>
      </c>
      <c r="E674">
        <v>5</v>
      </c>
      <c r="F674">
        <v>6</v>
      </c>
      <c r="G674" t="s">
        <v>53</v>
      </c>
      <c r="H674" t="s">
        <v>13</v>
      </c>
      <c r="I674" t="s">
        <v>151</v>
      </c>
      <c r="J674" t="s">
        <v>15</v>
      </c>
    </row>
    <row r="675" spans="1:10" x14ac:dyDescent="0.25">
      <c r="A675" t="s">
        <v>150</v>
      </c>
      <c r="B675" t="s">
        <v>16</v>
      </c>
      <c r="F675">
        <v>0</v>
      </c>
      <c r="H675" t="s">
        <v>13</v>
      </c>
      <c r="I675" t="s">
        <v>151</v>
      </c>
      <c r="J675" t="s">
        <v>15</v>
      </c>
    </row>
    <row r="676" spans="1:10" x14ac:dyDescent="0.25">
      <c r="A676" t="s">
        <v>150</v>
      </c>
      <c r="B676" t="s">
        <v>43</v>
      </c>
      <c r="C676">
        <v>4</v>
      </c>
      <c r="D676">
        <v>5</v>
      </c>
      <c r="E676">
        <v>5</v>
      </c>
      <c r="F676">
        <v>3</v>
      </c>
      <c r="G676" t="s">
        <v>52</v>
      </c>
      <c r="H676" t="s">
        <v>13</v>
      </c>
      <c r="I676" t="s">
        <v>151</v>
      </c>
      <c r="J676" t="s">
        <v>15</v>
      </c>
    </row>
    <row r="677" spans="1:10" x14ac:dyDescent="0.25">
      <c r="A677" t="s">
        <v>152</v>
      </c>
      <c r="B677" t="s">
        <v>11</v>
      </c>
      <c r="C677">
        <v>5</v>
      </c>
      <c r="D677">
        <v>4</v>
      </c>
      <c r="E677">
        <v>5</v>
      </c>
      <c r="F677">
        <v>2</v>
      </c>
      <c r="G677" t="s">
        <v>12</v>
      </c>
      <c r="H677" t="s">
        <v>13</v>
      </c>
      <c r="I677" t="s">
        <v>153</v>
      </c>
      <c r="J677" t="s">
        <v>15</v>
      </c>
    </row>
    <row r="678" spans="1:10" x14ac:dyDescent="0.25">
      <c r="A678" t="s">
        <v>152</v>
      </c>
      <c r="B678" t="s">
        <v>16</v>
      </c>
      <c r="F678">
        <v>0</v>
      </c>
      <c r="H678" t="s">
        <v>13</v>
      </c>
      <c r="I678" t="s">
        <v>153</v>
      </c>
      <c r="J678" t="s">
        <v>15</v>
      </c>
    </row>
    <row r="679" spans="1:10" x14ac:dyDescent="0.25">
      <c r="A679" t="s">
        <v>152</v>
      </c>
      <c r="B679" t="s">
        <v>17</v>
      </c>
      <c r="C679">
        <v>5</v>
      </c>
      <c r="D679">
        <v>5</v>
      </c>
      <c r="E679">
        <v>5</v>
      </c>
      <c r="F679">
        <v>3</v>
      </c>
      <c r="G679" t="s">
        <v>20</v>
      </c>
      <c r="H679" t="s">
        <v>13</v>
      </c>
      <c r="I679" t="s">
        <v>153</v>
      </c>
      <c r="J679" t="s">
        <v>15</v>
      </c>
    </row>
    <row r="680" spans="1:10" x14ac:dyDescent="0.25">
      <c r="A680" t="s">
        <v>152</v>
      </c>
      <c r="B680" t="s">
        <v>19</v>
      </c>
      <c r="C680">
        <v>5</v>
      </c>
      <c r="D680">
        <v>4</v>
      </c>
      <c r="E680">
        <v>5</v>
      </c>
      <c r="F680">
        <v>4</v>
      </c>
      <c r="G680" t="s">
        <v>22</v>
      </c>
      <c r="H680" t="s">
        <v>13</v>
      </c>
      <c r="I680" t="s">
        <v>153</v>
      </c>
      <c r="J680" t="s">
        <v>15</v>
      </c>
    </row>
    <row r="681" spans="1:10" x14ac:dyDescent="0.25">
      <c r="A681" t="s">
        <v>152</v>
      </c>
      <c r="B681" t="s">
        <v>21</v>
      </c>
      <c r="C681">
        <v>4</v>
      </c>
      <c r="D681">
        <v>4</v>
      </c>
      <c r="E681">
        <v>5</v>
      </c>
      <c r="F681">
        <v>1</v>
      </c>
      <c r="G681" t="s">
        <v>25</v>
      </c>
      <c r="H681" t="s">
        <v>13</v>
      </c>
      <c r="I681" t="s">
        <v>153</v>
      </c>
      <c r="J681" t="s">
        <v>15</v>
      </c>
    </row>
    <row r="682" spans="1:10" x14ac:dyDescent="0.25">
      <c r="A682" t="s">
        <v>152</v>
      </c>
      <c r="B682" t="s">
        <v>16</v>
      </c>
      <c r="F682">
        <v>0</v>
      </c>
      <c r="H682" t="s">
        <v>13</v>
      </c>
      <c r="I682" t="s">
        <v>153</v>
      </c>
      <c r="J682" t="s">
        <v>15</v>
      </c>
    </row>
    <row r="683" spans="1:10" x14ac:dyDescent="0.25">
      <c r="A683" t="s">
        <v>152</v>
      </c>
      <c r="B683" t="s">
        <v>23</v>
      </c>
      <c r="F683">
        <v>0</v>
      </c>
      <c r="H683" t="s">
        <v>13</v>
      </c>
      <c r="I683" t="s">
        <v>153</v>
      </c>
      <c r="J683" t="s">
        <v>15</v>
      </c>
    </row>
    <row r="684" spans="1:10" x14ac:dyDescent="0.25">
      <c r="A684" t="s">
        <v>152</v>
      </c>
      <c r="B684" t="s">
        <v>24</v>
      </c>
      <c r="C684">
        <v>5</v>
      </c>
      <c r="D684">
        <v>4</v>
      </c>
      <c r="E684">
        <v>5</v>
      </c>
      <c r="F684">
        <v>3</v>
      </c>
      <c r="G684" t="s">
        <v>18</v>
      </c>
      <c r="H684" t="s">
        <v>13</v>
      </c>
      <c r="I684" t="s">
        <v>153</v>
      </c>
      <c r="J684" t="s">
        <v>15</v>
      </c>
    </row>
    <row r="685" spans="1:10" x14ac:dyDescent="0.25">
      <c r="A685" t="s">
        <v>152</v>
      </c>
      <c r="B685" t="s">
        <v>26</v>
      </c>
      <c r="F685">
        <v>0</v>
      </c>
      <c r="H685" t="s">
        <v>13</v>
      </c>
      <c r="I685" t="s">
        <v>153</v>
      </c>
      <c r="J685" t="s">
        <v>15</v>
      </c>
    </row>
    <row r="686" spans="1:10" x14ac:dyDescent="0.25">
      <c r="A686" t="s">
        <v>152</v>
      </c>
      <c r="B686" t="s">
        <v>27</v>
      </c>
      <c r="C686">
        <v>4</v>
      </c>
      <c r="D686">
        <v>2</v>
      </c>
      <c r="E686">
        <v>5</v>
      </c>
      <c r="F686">
        <v>1</v>
      </c>
      <c r="G686" t="s">
        <v>25</v>
      </c>
      <c r="H686" t="s">
        <v>13</v>
      </c>
      <c r="I686" t="s">
        <v>153</v>
      </c>
      <c r="J686" t="s">
        <v>15</v>
      </c>
    </row>
    <row r="687" spans="1:10" x14ac:dyDescent="0.25">
      <c r="A687" t="s">
        <v>152</v>
      </c>
      <c r="B687" t="s">
        <v>28</v>
      </c>
      <c r="C687">
        <v>4</v>
      </c>
      <c r="D687">
        <v>1</v>
      </c>
      <c r="E687">
        <v>5</v>
      </c>
      <c r="F687">
        <v>1</v>
      </c>
      <c r="G687" t="s">
        <v>25</v>
      </c>
      <c r="H687" t="s">
        <v>13</v>
      </c>
      <c r="I687" t="s">
        <v>153</v>
      </c>
      <c r="J687" t="s">
        <v>15</v>
      </c>
    </row>
    <row r="688" spans="1:10" x14ac:dyDescent="0.25">
      <c r="A688" t="s">
        <v>152</v>
      </c>
      <c r="B688" t="s">
        <v>30</v>
      </c>
      <c r="C688">
        <v>5</v>
      </c>
      <c r="D688">
        <v>3</v>
      </c>
      <c r="E688">
        <v>5</v>
      </c>
      <c r="F688">
        <v>2</v>
      </c>
      <c r="G688" t="s">
        <v>12</v>
      </c>
      <c r="H688" t="s">
        <v>13</v>
      </c>
      <c r="I688" t="s">
        <v>153</v>
      </c>
      <c r="J688" t="s">
        <v>15</v>
      </c>
    </row>
    <row r="689" spans="1:10" x14ac:dyDescent="0.25">
      <c r="A689" t="s">
        <v>152</v>
      </c>
      <c r="B689" t="s">
        <v>31</v>
      </c>
      <c r="C689">
        <v>4</v>
      </c>
      <c r="D689">
        <v>3</v>
      </c>
      <c r="E689">
        <v>5</v>
      </c>
      <c r="F689">
        <v>1</v>
      </c>
      <c r="G689" t="s">
        <v>25</v>
      </c>
      <c r="H689" t="s">
        <v>13</v>
      </c>
      <c r="I689" t="s">
        <v>153</v>
      </c>
      <c r="J689" t="s">
        <v>15</v>
      </c>
    </row>
    <row r="690" spans="1:10" x14ac:dyDescent="0.25">
      <c r="A690" t="s">
        <v>152</v>
      </c>
      <c r="B690" t="s">
        <v>32</v>
      </c>
      <c r="F690">
        <v>0</v>
      </c>
      <c r="H690" t="s">
        <v>13</v>
      </c>
      <c r="I690" t="s">
        <v>153</v>
      </c>
      <c r="J690" t="s">
        <v>15</v>
      </c>
    </row>
    <row r="691" spans="1:10" x14ac:dyDescent="0.25">
      <c r="A691" t="s">
        <v>152</v>
      </c>
      <c r="B691" t="s">
        <v>33</v>
      </c>
      <c r="F691">
        <v>0</v>
      </c>
      <c r="H691" t="s">
        <v>13</v>
      </c>
      <c r="I691" t="s">
        <v>153</v>
      </c>
      <c r="J691" t="s">
        <v>15</v>
      </c>
    </row>
    <row r="692" spans="1:10" x14ac:dyDescent="0.25">
      <c r="A692" t="s">
        <v>152</v>
      </c>
      <c r="B692" t="s">
        <v>34</v>
      </c>
      <c r="F692">
        <v>0</v>
      </c>
      <c r="H692" t="s">
        <v>13</v>
      </c>
      <c r="I692" t="s">
        <v>153</v>
      </c>
      <c r="J692" t="s">
        <v>15</v>
      </c>
    </row>
    <row r="693" spans="1:10" x14ac:dyDescent="0.25">
      <c r="A693" t="s">
        <v>152</v>
      </c>
      <c r="B693" t="s">
        <v>35</v>
      </c>
      <c r="C693">
        <v>5</v>
      </c>
      <c r="D693">
        <v>2</v>
      </c>
      <c r="E693">
        <v>5</v>
      </c>
      <c r="F693">
        <v>3</v>
      </c>
      <c r="G693" t="s">
        <v>53</v>
      </c>
      <c r="H693" t="s">
        <v>13</v>
      </c>
      <c r="I693" t="s">
        <v>153</v>
      </c>
      <c r="J693" t="s">
        <v>15</v>
      </c>
    </row>
    <row r="694" spans="1:10" x14ac:dyDescent="0.25">
      <c r="A694" t="s">
        <v>152</v>
      </c>
      <c r="B694" t="s">
        <v>36</v>
      </c>
      <c r="C694">
        <v>5</v>
      </c>
      <c r="D694">
        <v>2</v>
      </c>
      <c r="E694">
        <v>5</v>
      </c>
      <c r="F694">
        <v>2</v>
      </c>
      <c r="G694" t="s">
        <v>12</v>
      </c>
      <c r="H694" t="s">
        <v>13</v>
      </c>
      <c r="I694" t="s">
        <v>153</v>
      </c>
      <c r="J694" t="s">
        <v>15</v>
      </c>
    </row>
    <row r="695" spans="1:10" x14ac:dyDescent="0.25">
      <c r="A695" t="s">
        <v>152</v>
      </c>
      <c r="B695" t="s">
        <v>37</v>
      </c>
      <c r="C695">
        <v>5</v>
      </c>
      <c r="D695">
        <v>5</v>
      </c>
      <c r="E695">
        <v>5</v>
      </c>
      <c r="F695">
        <v>1</v>
      </c>
      <c r="G695" t="s">
        <v>12</v>
      </c>
      <c r="H695" t="s">
        <v>13</v>
      </c>
      <c r="I695" t="s">
        <v>153</v>
      </c>
      <c r="J695" t="s">
        <v>15</v>
      </c>
    </row>
    <row r="696" spans="1:10" x14ac:dyDescent="0.25">
      <c r="A696" t="s">
        <v>152</v>
      </c>
      <c r="B696" t="s">
        <v>16</v>
      </c>
      <c r="F696">
        <v>0</v>
      </c>
      <c r="H696" t="s">
        <v>13</v>
      </c>
      <c r="I696" t="s">
        <v>153</v>
      </c>
      <c r="J696" t="s">
        <v>15</v>
      </c>
    </row>
    <row r="697" spans="1:10" x14ac:dyDescent="0.25">
      <c r="A697" t="s">
        <v>152</v>
      </c>
      <c r="B697" t="s">
        <v>38</v>
      </c>
      <c r="C697">
        <v>5</v>
      </c>
      <c r="D697">
        <v>5</v>
      </c>
      <c r="E697">
        <v>5</v>
      </c>
      <c r="F697">
        <v>9</v>
      </c>
      <c r="G697" t="s">
        <v>39</v>
      </c>
      <c r="H697" t="s">
        <v>13</v>
      </c>
      <c r="I697" t="s">
        <v>153</v>
      </c>
      <c r="J697" t="s">
        <v>15</v>
      </c>
    </row>
    <row r="698" spans="1:10" x14ac:dyDescent="0.25">
      <c r="A698" t="s">
        <v>152</v>
      </c>
      <c r="B698" t="s">
        <v>16</v>
      </c>
      <c r="F698">
        <v>0</v>
      </c>
      <c r="H698" t="s">
        <v>13</v>
      </c>
      <c r="I698" t="s">
        <v>153</v>
      </c>
      <c r="J698" t="s">
        <v>15</v>
      </c>
    </row>
    <row r="699" spans="1:10" x14ac:dyDescent="0.25">
      <c r="A699" t="s">
        <v>152</v>
      </c>
      <c r="B699" t="s">
        <v>40</v>
      </c>
      <c r="C699">
        <v>5</v>
      </c>
      <c r="D699">
        <v>4</v>
      </c>
      <c r="E699">
        <v>5</v>
      </c>
      <c r="F699">
        <v>2</v>
      </c>
      <c r="G699" t="s">
        <v>12</v>
      </c>
      <c r="H699" t="s">
        <v>13</v>
      </c>
      <c r="I699" t="s">
        <v>153</v>
      </c>
      <c r="J699" t="s">
        <v>15</v>
      </c>
    </row>
    <row r="700" spans="1:10" x14ac:dyDescent="0.25">
      <c r="A700" t="s">
        <v>152</v>
      </c>
      <c r="B700" t="s">
        <v>41</v>
      </c>
      <c r="C700">
        <v>4</v>
      </c>
      <c r="D700">
        <v>2</v>
      </c>
      <c r="E700">
        <v>5</v>
      </c>
      <c r="F700">
        <v>1</v>
      </c>
      <c r="G700" t="s">
        <v>25</v>
      </c>
      <c r="H700" t="s">
        <v>13</v>
      </c>
      <c r="I700" t="s">
        <v>153</v>
      </c>
      <c r="J700" t="s">
        <v>15</v>
      </c>
    </row>
    <row r="701" spans="1:10" x14ac:dyDescent="0.25">
      <c r="A701" t="s">
        <v>152</v>
      </c>
      <c r="B701" t="s">
        <v>42</v>
      </c>
      <c r="C701">
        <v>4</v>
      </c>
      <c r="D701">
        <v>4</v>
      </c>
      <c r="E701">
        <v>5</v>
      </c>
      <c r="F701">
        <v>1</v>
      </c>
      <c r="G701" t="s">
        <v>22</v>
      </c>
      <c r="H701" t="s">
        <v>13</v>
      </c>
      <c r="I701" t="s">
        <v>153</v>
      </c>
      <c r="J701" t="s">
        <v>15</v>
      </c>
    </row>
    <row r="702" spans="1:10" x14ac:dyDescent="0.25">
      <c r="A702" t="s">
        <v>152</v>
      </c>
      <c r="B702" t="s">
        <v>16</v>
      </c>
      <c r="F702">
        <v>0</v>
      </c>
      <c r="H702" t="s">
        <v>13</v>
      </c>
      <c r="I702" t="s">
        <v>153</v>
      </c>
      <c r="J702" t="s">
        <v>15</v>
      </c>
    </row>
    <row r="703" spans="1:10" x14ac:dyDescent="0.25">
      <c r="A703" t="s">
        <v>152</v>
      </c>
      <c r="B703" t="s">
        <v>43</v>
      </c>
      <c r="C703">
        <v>5</v>
      </c>
      <c r="D703">
        <v>5</v>
      </c>
      <c r="E703">
        <v>5</v>
      </c>
      <c r="F703">
        <v>5</v>
      </c>
      <c r="G703" t="s">
        <v>44</v>
      </c>
      <c r="H703" t="s">
        <v>13</v>
      </c>
      <c r="I703" t="s">
        <v>153</v>
      </c>
      <c r="J703" t="s">
        <v>15</v>
      </c>
    </row>
    <row r="704" spans="1:10" x14ac:dyDescent="0.25">
      <c r="A704" t="s">
        <v>154</v>
      </c>
      <c r="B704" t="s">
        <v>11</v>
      </c>
      <c r="D704">
        <v>5</v>
      </c>
      <c r="E704">
        <v>5</v>
      </c>
      <c r="F704">
        <v>0</v>
      </c>
      <c r="G704" t="s">
        <v>155</v>
      </c>
      <c r="H704" t="s">
        <v>13</v>
      </c>
      <c r="I704" t="s">
        <v>156</v>
      </c>
      <c r="J704" t="s">
        <v>15</v>
      </c>
    </row>
    <row r="705" spans="1:10" x14ac:dyDescent="0.25">
      <c r="A705" t="s">
        <v>154</v>
      </c>
      <c r="B705" t="s">
        <v>16</v>
      </c>
      <c r="F705">
        <v>0</v>
      </c>
      <c r="H705" t="s">
        <v>13</v>
      </c>
      <c r="I705" t="s">
        <v>156</v>
      </c>
      <c r="J705" t="s">
        <v>15</v>
      </c>
    </row>
    <row r="706" spans="1:10" x14ac:dyDescent="0.25">
      <c r="A706" t="s">
        <v>154</v>
      </c>
      <c r="B706" t="s">
        <v>17</v>
      </c>
      <c r="C706">
        <v>5</v>
      </c>
      <c r="D706">
        <v>5</v>
      </c>
      <c r="E706">
        <v>5</v>
      </c>
      <c r="F706">
        <v>4</v>
      </c>
      <c r="G706" t="s">
        <v>53</v>
      </c>
      <c r="H706" t="s">
        <v>13</v>
      </c>
      <c r="I706" t="s">
        <v>156</v>
      </c>
      <c r="J706" t="s">
        <v>15</v>
      </c>
    </row>
    <row r="707" spans="1:10" x14ac:dyDescent="0.25">
      <c r="A707" t="s">
        <v>154</v>
      </c>
      <c r="B707" t="s">
        <v>19</v>
      </c>
      <c r="C707">
        <v>4</v>
      </c>
      <c r="D707">
        <v>5</v>
      </c>
      <c r="E707">
        <v>5</v>
      </c>
      <c r="F707">
        <v>1</v>
      </c>
      <c r="G707" t="s">
        <v>50</v>
      </c>
      <c r="H707" t="s">
        <v>13</v>
      </c>
      <c r="I707" t="s">
        <v>156</v>
      </c>
      <c r="J707" t="s">
        <v>15</v>
      </c>
    </row>
    <row r="708" spans="1:10" x14ac:dyDescent="0.25">
      <c r="A708" t="s">
        <v>154</v>
      </c>
      <c r="B708" t="s">
        <v>21</v>
      </c>
      <c r="C708">
        <v>5</v>
      </c>
      <c r="D708">
        <v>5</v>
      </c>
      <c r="E708">
        <v>5</v>
      </c>
      <c r="F708">
        <v>1</v>
      </c>
      <c r="G708" t="s">
        <v>12</v>
      </c>
      <c r="H708" t="s">
        <v>13</v>
      </c>
      <c r="I708" t="s">
        <v>156</v>
      </c>
      <c r="J708" t="s">
        <v>15</v>
      </c>
    </row>
    <row r="709" spans="1:10" x14ac:dyDescent="0.25">
      <c r="A709" t="s">
        <v>154</v>
      </c>
      <c r="B709" t="s">
        <v>16</v>
      </c>
      <c r="F709">
        <v>0</v>
      </c>
      <c r="H709" t="s">
        <v>13</v>
      </c>
      <c r="I709" t="s">
        <v>156</v>
      </c>
      <c r="J709" t="s">
        <v>15</v>
      </c>
    </row>
    <row r="710" spans="1:10" x14ac:dyDescent="0.25">
      <c r="A710" t="s">
        <v>154</v>
      </c>
      <c r="B710" t="s">
        <v>23</v>
      </c>
      <c r="F710">
        <v>0</v>
      </c>
      <c r="H710" t="s">
        <v>13</v>
      </c>
      <c r="I710" t="s">
        <v>156</v>
      </c>
      <c r="J710" t="s">
        <v>15</v>
      </c>
    </row>
    <row r="711" spans="1:10" x14ac:dyDescent="0.25">
      <c r="A711" t="s">
        <v>154</v>
      </c>
      <c r="B711" t="s">
        <v>24</v>
      </c>
      <c r="C711">
        <v>4</v>
      </c>
      <c r="D711">
        <v>3</v>
      </c>
      <c r="E711">
        <v>5</v>
      </c>
      <c r="F711">
        <v>1</v>
      </c>
      <c r="G711" t="s">
        <v>20</v>
      </c>
      <c r="H711" t="s">
        <v>13</v>
      </c>
      <c r="I711" t="s">
        <v>156</v>
      </c>
      <c r="J711" t="s">
        <v>15</v>
      </c>
    </row>
    <row r="712" spans="1:10" x14ac:dyDescent="0.25">
      <c r="A712" t="s">
        <v>154</v>
      </c>
      <c r="B712" t="s">
        <v>26</v>
      </c>
      <c r="F712">
        <v>0</v>
      </c>
      <c r="H712" t="s">
        <v>13</v>
      </c>
      <c r="I712" t="s">
        <v>156</v>
      </c>
      <c r="J712" t="s">
        <v>15</v>
      </c>
    </row>
    <row r="713" spans="1:10" x14ac:dyDescent="0.25">
      <c r="A713" t="s">
        <v>154</v>
      </c>
      <c r="B713" t="s">
        <v>27</v>
      </c>
      <c r="C713">
        <v>5</v>
      </c>
      <c r="D713">
        <v>4</v>
      </c>
      <c r="E713">
        <v>5</v>
      </c>
      <c r="F713">
        <v>1</v>
      </c>
      <c r="G713" t="s">
        <v>12</v>
      </c>
      <c r="H713" t="s">
        <v>13</v>
      </c>
      <c r="I713" t="s">
        <v>156</v>
      </c>
      <c r="J713" t="s">
        <v>15</v>
      </c>
    </row>
    <row r="714" spans="1:10" x14ac:dyDescent="0.25">
      <c r="A714" t="s">
        <v>154</v>
      </c>
      <c r="B714" t="s">
        <v>28</v>
      </c>
      <c r="C714">
        <v>5</v>
      </c>
      <c r="D714">
        <v>5</v>
      </c>
      <c r="E714">
        <v>5</v>
      </c>
      <c r="F714">
        <v>3</v>
      </c>
      <c r="G714" t="s">
        <v>18</v>
      </c>
      <c r="H714" t="s">
        <v>13</v>
      </c>
      <c r="I714" t="s">
        <v>156</v>
      </c>
      <c r="J714" t="s">
        <v>15</v>
      </c>
    </row>
    <row r="715" spans="1:10" x14ac:dyDescent="0.25">
      <c r="A715" t="s">
        <v>154</v>
      </c>
      <c r="B715" t="s">
        <v>30</v>
      </c>
      <c r="C715">
        <v>4</v>
      </c>
      <c r="D715">
        <v>4</v>
      </c>
      <c r="E715">
        <v>5</v>
      </c>
      <c r="F715">
        <v>1</v>
      </c>
      <c r="G715" t="s">
        <v>20</v>
      </c>
      <c r="H715" t="s">
        <v>13</v>
      </c>
      <c r="I715" t="s">
        <v>156</v>
      </c>
      <c r="J715" t="s">
        <v>15</v>
      </c>
    </row>
    <row r="716" spans="1:10" x14ac:dyDescent="0.25">
      <c r="A716" t="s">
        <v>154</v>
      </c>
      <c r="B716" t="s">
        <v>31</v>
      </c>
      <c r="C716">
        <v>5</v>
      </c>
      <c r="D716">
        <v>4</v>
      </c>
      <c r="E716">
        <v>5</v>
      </c>
      <c r="F716">
        <v>1</v>
      </c>
      <c r="G716" t="s">
        <v>12</v>
      </c>
      <c r="H716" t="s">
        <v>13</v>
      </c>
      <c r="I716" t="s">
        <v>156</v>
      </c>
      <c r="J716" t="s">
        <v>15</v>
      </c>
    </row>
    <row r="717" spans="1:10" x14ac:dyDescent="0.25">
      <c r="A717" t="s">
        <v>154</v>
      </c>
      <c r="B717" t="s">
        <v>32</v>
      </c>
      <c r="F717">
        <v>0</v>
      </c>
      <c r="H717" t="s">
        <v>13</v>
      </c>
      <c r="I717" t="s">
        <v>156</v>
      </c>
      <c r="J717" t="s">
        <v>15</v>
      </c>
    </row>
    <row r="718" spans="1:10" x14ac:dyDescent="0.25">
      <c r="A718" t="s">
        <v>154</v>
      </c>
      <c r="B718" t="s">
        <v>33</v>
      </c>
      <c r="F718">
        <v>0</v>
      </c>
      <c r="H718" t="s">
        <v>13</v>
      </c>
      <c r="I718" t="s">
        <v>156</v>
      </c>
      <c r="J718" t="s">
        <v>15</v>
      </c>
    </row>
    <row r="719" spans="1:10" x14ac:dyDescent="0.25">
      <c r="A719" t="s">
        <v>154</v>
      </c>
      <c r="B719" t="s">
        <v>34</v>
      </c>
      <c r="F719">
        <v>0</v>
      </c>
      <c r="H719" t="s">
        <v>13</v>
      </c>
      <c r="I719" t="s">
        <v>156</v>
      </c>
      <c r="J719" t="s">
        <v>15</v>
      </c>
    </row>
    <row r="720" spans="1:10" x14ac:dyDescent="0.25">
      <c r="A720" t="s">
        <v>154</v>
      </c>
      <c r="B720" t="s">
        <v>35</v>
      </c>
      <c r="C720">
        <v>5</v>
      </c>
      <c r="D720">
        <v>4</v>
      </c>
      <c r="E720">
        <v>5</v>
      </c>
      <c r="F720">
        <v>4</v>
      </c>
      <c r="G720" t="s">
        <v>48</v>
      </c>
      <c r="H720" t="s">
        <v>13</v>
      </c>
      <c r="I720" t="s">
        <v>156</v>
      </c>
      <c r="J720" t="s">
        <v>15</v>
      </c>
    </row>
    <row r="721" spans="1:10" x14ac:dyDescent="0.25">
      <c r="A721" t="s">
        <v>154</v>
      </c>
      <c r="B721" t="s">
        <v>36</v>
      </c>
      <c r="D721">
        <v>4</v>
      </c>
      <c r="E721">
        <v>5</v>
      </c>
      <c r="F721">
        <v>0</v>
      </c>
      <c r="G721" t="s">
        <v>157</v>
      </c>
      <c r="H721" t="s">
        <v>13</v>
      </c>
      <c r="I721" t="s">
        <v>156</v>
      </c>
      <c r="J721" t="s">
        <v>15</v>
      </c>
    </row>
    <row r="722" spans="1:10" x14ac:dyDescent="0.25">
      <c r="A722" t="s">
        <v>154</v>
      </c>
      <c r="B722" t="s">
        <v>37</v>
      </c>
      <c r="C722">
        <v>4</v>
      </c>
      <c r="D722">
        <v>5</v>
      </c>
      <c r="E722">
        <v>5</v>
      </c>
      <c r="F722">
        <v>2</v>
      </c>
      <c r="G722" t="s">
        <v>18</v>
      </c>
      <c r="H722" t="s">
        <v>13</v>
      </c>
      <c r="I722" t="s">
        <v>156</v>
      </c>
      <c r="J722" t="s">
        <v>15</v>
      </c>
    </row>
    <row r="723" spans="1:10" x14ac:dyDescent="0.25">
      <c r="A723" t="s">
        <v>154</v>
      </c>
      <c r="B723" t="s">
        <v>16</v>
      </c>
      <c r="F723">
        <v>0</v>
      </c>
      <c r="H723" t="s">
        <v>13</v>
      </c>
      <c r="I723" t="s">
        <v>156</v>
      </c>
      <c r="J723" t="s">
        <v>15</v>
      </c>
    </row>
    <row r="724" spans="1:10" x14ac:dyDescent="0.25">
      <c r="A724" t="s">
        <v>154</v>
      </c>
      <c r="B724" t="s">
        <v>38</v>
      </c>
      <c r="C724">
        <v>5</v>
      </c>
      <c r="D724">
        <v>5</v>
      </c>
      <c r="E724">
        <v>5</v>
      </c>
      <c r="F724">
        <v>2</v>
      </c>
      <c r="G724" t="s">
        <v>59</v>
      </c>
      <c r="H724" t="s">
        <v>13</v>
      </c>
      <c r="I724" t="s">
        <v>156</v>
      </c>
      <c r="J724" t="s">
        <v>15</v>
      </c>
    </row>
    <row r="725" spans="1:10" x14ac:dyDescent="0.25">
      <c r="A725" t="s">
        <v>154</v>
      </c>
      <c r="B725" t="s">
        <v>16</v>
      </c>
      <c r="F725">
        <v>0</v>
      </c>
      <c r="H725" t="s">
        <v>13</v>
      </c>
      <c r="I725" t="s">
        <v>156</v>
      </c>
      <c r="J725" t="s">
        <v>15</v>
      </c>
    </row>
    <row r="726" spans="1:10" x14ac:dyDescent="0.25">
      <c r="A726" t="s">
        <v>154</v>
      </c>
      <c r="B726" t="s">
        <v>40</v>
      </c>
      <c r="C726">
        <v>4</v>
      </c>
      <c r="D726">
        <v>5</v>
      </c>
      <c r="E726">
        <v>5</v>
      </c>
      <c r="F726">
        <v>1</v>
      </c>
      <c r="G726" t="s">
        <v>20</v>
      </c>
      <c r="H726" t="s">
        <v>13</v>
      </c>
      <c r="I726" t="s">
        <v>156</v>
      </c>
      <c r="J726" t="s">
        <v>15</v>
      </c>
    </row>
    <row r="727" spans="1:10" x14ac:dyDescent="0.25">
      <c r="A727" t="s">
        <v>154</v>
      </c>
      <c r="B727" t="s">
        <v>41</v>
      </c>
      <c r="C727">
        <v>5</v>
      </c>
      <c r="D727">
        <v>5</v>
      </c>
      <c r="E727">
        <v>5</v>
      </c>
      <c r="F727">
        <v>1</v>
      </c>
      <c r="G727" t="s">
        <v>12</v>
      </c>
      <c r="H727" t="s">
        <v>13</v>
      </c>
      <c r="I727" t="s">
        <v>156</v>
      </c>
      <c r="J727" t="s">
        <v>15</v>
      </c>
    </row>
    <row r="728" spans="1:10" x14ac:dyDescent="0.25">
      <c r="A728" t="s">
        <v>154</v>
      </c>
      <c r="B728" t="s">
        <v>42</v>
      </c>
      <c r="C728">
        <v>4</v>
      </c>
      <c r="D728">
        <v>5</v>
      </c>
      <c r="E728">
        <v>5</v>
      </c>
      <c r="F728">
        <v>1</v>
      </c>
      <c r="G728" t="s">
        <v>50</v>
      </c>
      <c r="H728" t="s">
        <v>13</v>
      </c>
      <c r="I728" t="s">
        <v>156</v>
      </c>
      <c r="J728" t="s">
        <v>15</v>
      </c>
    </row>
    <row r="729" spans="1:10" x14ac:dyDescent="0.25">
      <c r="A729" t="s">
        <v>154</v>
      </c>
      <c r="B729" t="s">
        <v>16</v>
      </c>
      <c r="F729">
        <v>0</v>
      </c>
      <c r="H729" t="s">
        <v>13</v>
      </c>
      <c r="I729" t="s">
        <v>156</v>
      </c>
      <c r="J729" t="s">
        <v>15</v>
      </c>
    </row>
    <row r="730" spans="1:10" x14ac:dyDescent="0.25">
      <c r="A730" t="s">
        <v>154</v>
      </c>
      <c r="B730" t="s">
        <v>43</v>
      </c>
      <c r="C730">
        <v>5</v>
      </c>
      <c r="D730">
        <v>5</v>
      </c>
      <c r="E730">
        <v>5</v>
      </c>
      <c r="F730">
        <v>2</v>
      </c>
      <c r="G730" t="s">
        <v>22</v>
      </c>
      <c r="H730" t="s">
        <v>13</v>
      </c>
      <c r="I730" t="s">
        <v>156</v>
      </c>
      <c r="J730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E26"/>
  <sheetViews>
    <sheetView workbookViewId="0">
      <pane xSplit="1" topLeftCell="AC1" activePane="topRight" state="frozen"/>
      <selection pane="topRight" activeCell="A5" sqref="A5:A23"/>
    </sheetView>
  </sheetViews>
  <sheetFormatPr baseColWidth="10" defaultRowHeight="15" x14ac:dyDescent="0.25"/>
  <cols>
    <col min="1" max="1" width="25.7109375" bestFit="1" customWidth="1"/>
    <col min="2" max="2" width="24.28515625" bestFit="1" customWidth="1"/>
    <col min="3" max="3" width="20.42578125" bestFit="1" customWidth="1"/>
    <col min="4" max="4" width="12" bestFit="1" customWidth="1"/>
    <col min="5" max="5" width="44.140625" bestFit="1" customWidth="1"/>
    <col min="6" max="6" width="35.28515625" bestFit="1" customWidth="1"/>
    <col min="7" max="7" width="18.5703125" bestFit="1" customWidth="1"/>
    <col min="8" max="8" width="33.42578125" bestFit="1" customWidth="1"/>
    <col min="9" max="9" width="29.5703125" bestFit="1" customWidth="1"/>
    <col min="10" max="10" width="19.42578125" bestFit="1" customWidth="1"/>
    <col min="11" max="11" width="36.85546875" bestFit="1" customWidth="1"/>
    <col min="12" max="12" width="24.5703125" bestFit="1" customWidth="1"/>
    <col min="13" max="13" width="35.28515625" bestFit="1" customWidth="1"/>
    <col min="14" max="14" width="18.5703125" bestFit="1" customWidth="1"/>
    <col min="15" max="15" width="33.42578125" bestFit="1" customWidth="1"/>
    <col min="16" max="16" width="29.5703125" bestFit="1" customWidth="1"/>
    <col min="17" max="17" width="19.42578125" bestFit="1" customWidth="1"/>
    <col min="18" max="18" width="36.85546875" bestFit="1" customWidth="1"/>
    <col min="19" max="19" width="24.5703125" bestFit="1" customWidth="1"/>
    <col min="20" max="20" width="18.5703125" bestFit="1" customWidth="1"/>
    <col min="21" max="21" width="33.42578125" bestFit="1" customWidth="1"/>
    <col min="22" max="22" width="19.42578125" bestFit="1" customWidth="1"/>
    <col min="23" max="23" width="36.85546875" bestFit="1" customWidth="1"/>
    <col min="24" max="24" width="24.5703125" bestFit="1" customWidth="1"/>
    <col min="25" max="25" width="33.42578125" bestFit="1" customWidth="1"/>
    <col min="26" max="27" width="19.42578125" bestFit="1" customWidth="1"/>
    <col min="28" max="28" width="27.7109375" bestFit="1" customWidth="1"/>
    <col min="29" max="29" width="12.5703125" bestFit="1" customWidth="1"/>
  </cols>
  <sheetData>
    <row r="3" spans="1:29" x14ac:dyDescent="0.25">
      <c r="A3" s="1" t="s">
        <v>162</v>
      </c>
      <c r="B3" s="1" t="s">
        <v>161</v>
      </c>
    </row>
    <row r="4" spans="1:29" x14ac:dyDescent="0.25">
      <c r="A4" s="1" t="s">
        <v>158</v>
      </c>
      <c r="B4" t="s">
        <v>56</v>
      </c>
      <c r="C4" t="s">
        <v>88</v>
      </c>
      <c r="D4" t="s">
        <v>140</v>
      </c>
      <c r="E4" t="s">
        <v>96</v>
      </c>
      <c r="F4" t="s">
        <v>117</v>
      </c>
      <c r="G4" t="s">
        <v>69</v>
      </c>
      <c r="H4" t="s">
        <v>45</v>
      </c>
      <c r="I4" t="s">
        <v>86</v>
      </c>
      <c r="J4" t="s">
        <v>122</v>
      </c>
      <c r="K4" t="s">
        <v>98</v>
      </c>
      <c r="L4" t="s">
        <v>150</v>
      </c>
      <c r="M4" t="s">
        <v>119</v>
      </c>
      <c r="N4" t="s">
        <v>72</v>
      </c>
      <c r="O4" t="s">
        <v>100</v>
      </c>
      <c r="P4" t="s">
        <v>92</v>
      </c>
      <c r="Q4" t="s">
        <v>124</v>
      </c>
      <c r="R4" t="s">
        <v>10</v>
      </c>
      <c r="S4" t="s">
        <v>152</v>
      </c>
      <c r="T4" t="s">
        <v>77</v>
      </c>
      <c r="U4" t="s">
        <v>49</v>
      </c>
      <c r="V4" t="s">
        <v>127</v>
      </c>
      <c r="W4" t="s">
        <v>106</v>
      </c>
      <c r="X4" t="s">
        <v>154</v>
      </c>
      <c r="Y4" t="s">
        <v>64</v>
      </c>
      <c r="Z4" t="s">
        <v>132</v>
      </c>
      <c r="AA4" t="s">
        <v>146</v>
      </c>
      <c r="AB4" t="s">
        <v>112</v>
      </c>
      <c r="AC4" t="s">
        <v>159</v>
      </c>
    </row>
    <row r="5" spans="1:29" x14ac:dyDescent="0.25">
      <c r="A5" s="2" t="s">
        <v>11</v>
      </c>
      <c r="B5" s="3">
        <v>88.235294117647058</v>
      </c>
      <c r="C5" s="3">
        <v>100</v>
      </c>
      <c r="D5" s="3">
        <v>90.909090909090907</v>
      </c>
      <c r="E5" s="3">
        <v>100</v>
      </c>
      <c r="F5" s="3">
        <v>66.666666666666657</v>
      </c>
      <c r="G5" s="3">
        <v>100</v>
      </c>
      <c r="H5" s="3">
        <v>80</v>
      </c>
      <c r="I5" s="3">
        <v>100</v>
      </c>
      <c r="J5" s="3">
        <v>100</v>
      </c>
      <c r="K5" s="3">
        <v>83.333333333333343</v>
      </c>
      <c r="L5" s="3">
        <v>100</v>
      </c>
      <c r="M5" s="3">
        <v>80</v>
      </c>
      <c r="N5" s="3">
        <v>66.666666666666657</v>
      </c>
      <c r="O5" s="3">
        <v>80</v>
      </c>
      <c r="P5" s="3">
        <v>100</v>
      </c>
      <c r="Q5" s="3">
        <v>100</v>
      </c>
      <c r="R5" s="3">
        <v>80</v>
      </c>
      <c r="S5" s="3">
        <v>80</v>
      </c>
      <c r="T5" s="3">
        <v>80</v>
      </c>
      <c r="U5" s="3">
        <v>100</v>
      </c>
      <c r="V5" s="3">
        <v>100</v>
      </c>
      <c r="W5" s="3">
        <v>60</v>
      </c>
      <c r="X5" s="3">
        <v>100</v>
      </c>
      <c r="Y5" s="3">
        <v>80</v>
      </c>
      <c r="Z5" s="3">
        <v>100</v>
      </c>
      <c r="AA5" s="3">
        <v>100</v>
      </c>
      <c r="AB5" s="3">
        <v>93.333333333333329</v>
      </c>
      <c r="AC5" s="3">
        <v>89.227569815805126</v>
      </c>
    </row>
    <row r="6" spans="1:29" x14ac:dyDescent="0.25">
      <c r="A6" s="2" t="s">
        <v>24</v>
      </c>
      <c r="B6" s="3">
        <v>64.705882352941174</v>
      </c>
      <c r="C6" s="3">
        <v>66.666666666666657</v>
      </c>
      <c r="D6" s="3">
        <v>68.181818181818173</v>
      </c>
      <c r="E6" s="3">
        <v>80</v>
      </c>
      <c r="F6" s="3">
        <v>66.666666666666657</v>
      </c>
      <c r="G6" s="3">
        <v>100</v>
      </c>
      <c r="H6" s="3">
        <v>80</v>
      </c>
      <c r="I6" s="3">
        <v>80</v>
      </c>
      <c r="J6" s="3">
        <v>60</v>
      </c>
      <c r="K6" s="3">
        <v>100</v>
      </c>
      <c r="L6" s="3">
        <v>100</v>
      </c>
      <c r="M6" s="3">
        <v>100</v>
      </c>
      <c r="N6" s="3">
        <v>66.666666666666657</v>
      </c>
      <c r="O6" s="3">
        <v>100</v>
      </c>
      <c r="P6" s="3">
        <v>80</v>
      </c>
      <c r="Q6" s="3">
        <v>83.333333333333343</v>
      </c>
      <c r="R6" s="3">
        <v>80</v>
      </c>
      <c r="S6" s="3">
        <v>80</v>
      </c>
      <c r="T6" s="3">
        <v>60</v>
      </c>
      <c r="U6" s="3">
        <v>60</v>
      </c>
      <c r="V6" s="3">
        <v>60</v>
      </c>
      <c r="W6" s="3">
        <v>60</v>
      </c>
      <c r="X6" s="3">
        <v>60</v>
      </c>
      <c r="Y6" s="3">
        <v>80</v>
      </c>
      <c r="Z6" s="3">
        <v>60</v>
      </c>
      <c r="AA6" s="3">
        <v>83.333333333333343</v>
      </c>
      <c r="AB6" s="3">
        <v>86.666666666666671</v>
      </c>
      <c r="AC6" s="3">
        <v>76.526704958077502</v>
      </c>
    </row>
    <row r="7" spans="1:29" x14ac:dyDescent="0.25">
      <c r="A7" s="2" t="s">
        <v>37</v>
      </c>
      <c r="B7" s="3">
        <v>94.117647058823522</v>
      </c>
      <c r="C7" s="3">
        <v>77.777777777777786</v>
      </c>
      <c r="D7" s="3">
        <v>63.636363636363633</v>
      </c>
      <c r="E7" s="3">
        <v>100</v>
      </c>
      <c r="F7" s="3">
        <v>100</v>
      </c>
      <c r="G7" s="3">
        <v>100</v>
      </c>
      <c r="H7" s="3">
        <v>100</v>
      </c>
      <c r="I7" s="3">
        <v>80</v>
      </c>
      <c r="J7" s="3">
        <v>100</v>
      </c>
      <c r="K7" s="3">
        <v>100</v>
      </c>
      <c r="L7" s="3">
        <v>100</v>
      </c>
      <c r="M7" s="3">
        <v>100</v>
      </c>
      <c r="N7" s="3">
        <v>83.333333333333343</v>
      </c>
      <c r="O7" s="3">
        <v>100</v>
      </c>
      <c r="P7" s="3">
        <v>100</v>
      </c>
      <c r="Q7" s="3">
        <v>100</v>
      </c>
      <c r="R7" s="3">
        <v>100</v>
      </c>
      <c r="S7" s="3">
        <v>100</v>
      </c>
      <c r="T7" s="3">
        <v>80</v>
      </c>
      <c r="U7" s="3">
        <v>100</v>
      </c>
      <c r="V7" s="3">
        <v>100</v>
      </c>
      <c r="W7" s="3">
        <v>100</v>
      </c>
      <c r="X7" s="3">
        <v>100</v>
      </c>
      <c r="Y7" s="3">
        <v>100</v>
      </c>
      <c r="Z7" s="3">
        <v>100</v>
      </c>
      <c r="AA7" s="3">
        <v>100</v>
      </c>
      <c r="AB7" s="3">
        <v>100</v>
      </c>
      <c r="AC7" s="3">
        <v>95.513523029862895</v>
      </c>
    </row>
    <row r="8" spans="1:29" x14ac:dyDescent="0.25">
      <c r="A8" s="2" t="s">
        <v>38</v>
      </c>
      <c r="B8" s="3">
        <v>100</v>
      </c>
      <c r="C8" s="3">
        <v>100</v>
      </c>
      <c r="D8" s="3">
        <v>100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100</v>
      </c>
      <c r="K8" s="3">
        <v>100</v>
      </c>
      <c r="L8" s="3">
        <v>100</v>
      </c>
      <c r="M8" s="3">
        <v>100</v>
      </c>
      <c r="N8" s="3">
        <v>100</v>
      </c>
      <c r="O8" s="3">
        <v>100</v>
      </c>
      <c r="P8" s="3">
        <v>100</v>
      </c>
      <c r="Q8" s="3">
        <v>100</v>
      </c>
      <c r="R8" s="3">
        <v>100</v>
      </c>
      <c r="S8" s="3">
        <v>100</v>
      </c>
      <c r="T8" s="3">
        <v>100</v>
      </c>
      <c r="U8" s="3">
        <v>100</v>
      </c>
      <c r="V8" s="3">
        <v>100</v>
      </c>
      <c r="W8" s="3">
        <v>100</v>
      </c>
      <c r="X8" s="3">
        <v>100</v>
      </c>
      <c r="Y8" s="3">
        <v>100</v>
      </c>
      <c r="Z8" s="3">
        <v>100</v>
      </c>
      <c r="AA8" s="3">
        <v>100</v>
      </c>
      <c r="AB8" s="3">
        <v>100</v>
      </c>
      <c r="AC8" s="3">
        <v>100</v>
      </c>
    </row>
    <row r="9" spans="1:29" x14ac:dyDescent="0.25">
      <c r="A9" s="2" t="s">
        <v>40</v>
      </c>
      <c r="B9" s="3">
        <v>88.235294117647058</v>
      </c>
      <c r="C9" s="3">
        <v>88.888888888888886</v>
      </c>
      <c r="D9" s="3">
        <v>91.304347826086953</v>
      </c>
      <c r="E9" s="3">
        <v>100</v>
      </c>
      <c r="F9" s="3">
        <v>100</v>
      </c>
      <c r="G9" s="3">
        <v>83.333333333333343</v>
      </c>
      <c r="H9" s="3">
        <v>80</v>
      </c>
      <c r="I9" s="3">
        <v>80</v>
      </c>
      <c r="J9" s="3">
        <v>100</v>
      </c>
      <c r="K9" s="3">
        <v>100</v>
      </c>
      <c r="L9" s="3">
        <v>100</v>
      </c>
      <c r="M9" s="3">
        <v>80</v>
      </c>
      <c r="N9" s="3">
        <v>100</v>
      </c>
      <c r="O9" s="3">
        <v>100</v>
      </c>
      <c r="P9" s="3">
        <v>100</v>
      </c>
      <c r="Q9" s="3">
        <v>100</v>
      </c>
      <c r="R9" s="3">
        <v>100</v>
      </c>
      <c r="S9" s="3">
        <v>80</v>
      </c>
      <c r="T9" s="3">
        <v>100</v>
      </c>
      <c r="U9" s="3">
        <v>100</v>
      </c>
      <c r="V9" s="3">
        <v>80</v>
      </c>
      <c r="W9" s="3">
        <v>100</v>
      </c>
      <c r="X9" s="3">
        <v>100</v>
      </c>
      <c r="Y9" s="3">
        <v>80</v>
      </c>
      <c r="Z9" s="3">
        <v>100</v>
      </c>
      <c r="AA9" s="3">
        <v>100</v>
      </c>
      <c r="AB9" s="3">
        <v>80</v>
      </c>
      <c r="AC9" s="3">
        <v>93.02821719133172</v>
      </c>
    </row>
    <row r="10" spans="1:29" x14ac:dyDescent="0.25">
      <c r="A10" s="2" t="s">
        <v>27</v>
      </c>
      <c r="B10" s="3">
        <v>47.058823529411761</v>
      </c>
      <c r="C10" s="3"/>
      <c r="D10" s="3">
        <v>72.727272727272734</v>
      </c>
      <c r="E10" s="3">
        <v>80</v>
      </c>
      <c r="F10" s="3">
        <v>83.333333333333343</v>
      </c>
      <c r="G10" s="3">
        <v>50</v>
      </c>
      <c r="H10" s="3">
        <v>60</v>
      </c>
      <c r="I10" s="3">
        <v>80</v>
      </c>
      <c r="J10" s="3">
        <v>80</v>
      </c>
      <c r="K10" s="3">
        <v>66.666666666666657</v>
      </c>
      <c r="L10" s="3">
        <v>80</v>
      </c>
      <c r="M10" s="3">
        <v>40</v>
      </c>
      <c r="N10" s="3">
        <v>50</v>
      </c>
      <c r="O10" s="3">
        <v>80</v>
      </c>
      <c r="P10" s="3">
        <v>60</v>
      </c>
      <c r="Q10" s="3">
        <v>83.333333333333343</v>
      </c>
      <c r="R10" s="3">
        <v>60</v>
      </c>
      <c r="S10" s="3">
        <v>40</v>
      </c>
      <c r="T10" s="3">
        <v>80</v>
      </c>
      <c r="U10" s="3">
        <v>60</v>
      </c>
      <c r="V10" s="3">
        <v>80</v>
      </c>
      <c r="W10" s="3">
        <v>80</v>
      </c>
      <c r="X10" s="3">
        <v>80</v>
      </c>
      <c r="Y10" s="3">
        <v>80</v>
      </c>
      <c r="Z10" s="3">
        <v>60</v>
      </c>
      <c r="AA10" s="3">
        <v>100</v>
      </c>
      <c r="AB10" s="3">
        <v>66.666666666666657</v>
      </c>
      <c r="AC10" s="3">
        <v>69.222542163718629</v>
      </c>
    </row>
    <row r="11" spans="1:29" x14ac:dyDescent="0.25">
      <c r="A11" s="2" t="s">
        <v>35</v>
      </c>
      <c r="B11" s="3">
        <v>82.35294117647058</v>
      </c>
      <c r="C11" s="3">
        <v>33.333333333333329</v>
      </c>
      <c r="D11" s="3">
        <v>65.217391304347828</v>
      </c>
      <c r="E11" s="3">
        <v>80</v>
      </c>
      <c r="F11" s="3">
        <v>83.333333333333343</v>
      </c>
      <c r="G11" s="3">
        <v>83.333333333333343</v>
      </c>
      <c r="H11" s="3">
        <v>40</v>
      </c>
      <c r="I11" s="3">
        <v>60</v>
      </c>
      <c r="J11" s="3">
        <v>80</v>
      </c>
      <c r="K11" s="3">
        <v>66.666666666666657</v>
      </c>
      <c r="L11" s="3">
        <v>60</v>
      </c>
      <c r="M11" s="3">
        <v>80</v>
      </c>
      <c r="N11" s="3">
        <v>66.666666666666657</v>
      </c>
      <c r="O11" s="3">
        <v>80</v>
      </c>
      <c r="P11" s="3">
        <v>40</v>
      </c>
      <c r="Q11" s="3">
        <v>66.666666666666657</v>
      </c>
      <c r="R11" s="3">
        <v>40</v>
      </c>
      <c r="S11" s="3">
        <v>40</v>
      </c>
      <c r="T11" s="3">
        <v>60</v>
      </c>
      <c r="U11" s="3">
        <v>80</v>
      </c>
      <c r="V11" s="3">
        <v>80</v>
      </c>
      <c r="W11" s="3">
        <v>60</v>
      </c>
      <c r="X11" s="3">
        <v>80</v>
      </c>
      <c r="Y11" s="3">
        <v>80</v>
      </c>
      <c r="Z11" s="3">
        <v>100</v>
      </c>
      <c r="AA11" s="3">
        <v>33.333333333333329</v>
      </c>
      <c r="AB11" s="3">
        <v>26.666666666666668</v>
      </c>
      <c r="AC11" s="3">
        <v>64.724827128919202</v>
      </c>
    </row>
    <row r="12" spans="1:29" x14ac:dyDescent="0.25">
      <c r="A12" s="2" t="s">
        <v>17</v>
      </c>
      <c r="B12" s="3">
        <v>82.35294117647058</v>
      </c>
      <c r="C12" s="3">
        <v>77.777777777777786</v>
      </c>
      <c r="D12" s="3">
        <v>82.608695652173907</v>
      </c>
      <c r="E12" s="3">
        <v>100</v>
      </c>
      <c r="F12" s="3">
        <v>100</v>
      </c>
      <c r="G12" s="3">
        <v>100</v>
      </c>
      <c r="H12" s="3">
        <v>100</v>
      </c>
      <c r="I12" s="3">
        <v>80</v>
      </c>
      <c r="J12" s="3">
        <v>80</v>
      </c>
      <c r="K12" s="3">
        <v>100</v>
      </c>
      <c r="L12" s="3">
        <v>100</v>
      </c>
      <c r="M12" s="3">
        <v>80</v>
      </c>
      <c r="N12" s="3">
        <v>100</v>
      </c>
      <c r="O12" s="3">
        <v>100</v>
      </c>
      <c r="P12" s="3">
        <v>100</v>
      </c>
      <c r="Q12" s="3">
        <v>83.333333333333343</v>
      </c>
      <c r="R12" s="3">
        <v>80</v>
      </c>
      <c r="S12" s="3">
        <v>100</v>
      </c>
      <c r="T12" s="3">
        <v>100</v>
      </c>
      <c r="U12" s="3">
        <v>100</v>
      </c>
      <c r="V12" s="3">
        <v>80</v>
      </c>
      <c r="W12" s="3">
        <v>100</v>
      </c>
      <c r="X12" s="3">
        <v>100</v>
      </c>
      <c r="Y12" s="3">
        <v>100</v>
      </c>
      <c r="Z12" s="3">
        <v>80</v>
      </c>
      <c r="AA12" s="3">
        <v>83.333333333333343</v>
      </c>
      <c r="AB12" s="3">
        <v>86.666666666666671</v>
      </c>
      <c r="AC12" s="3">
        <v>91.706398071842798</v>
      </c>
    </row>
    <row r="13" spans="1:29" x14ac:dyDescent="0.25">
      <c r="A13" s="2" t="s">
        <v>41</v>
      </c>
      <c r="B13" s="3">
        <v>82.35294117647058</v>
      </c>
      <c r="C13" s="3">
        <v>55.555555555555557</v>
      </c>
      <c r="D13" s="3">
        <v>52.173913043478258</v>
      </c>
      <c r="E13" s="3">
        <v>80</v>
      </c>
      <c r="F13" s="3">
        <v>83.333333333333343</v>
      </c>
      <c r="G13" s="3">
        <v>66.666666666666657</v>
      </c>
      <c r="H13" s="3">
        <v>80</v>
      </c>
      <c r="I13" s="3">
        <v>100</v>
      </c>
      <c r="J13" s="3">
        <v>60</v>
      </c>
      <c r="K13" s="3">
        <v>83.333333333333343</v>
      </c>
      <c r="L13" s="3">
        <v>60</v>
      </c>
      <c r="M13" s="3">
        <v>60</v>
      </c>
      <c r="N13" s="3">
        <v>83.333333333333343</v>
      </c>
      <c r="O13" s="3">
        <v>60</v>
      </c>
      <c r="P13" s="3">
        <v>60</v>
      </c>
      <c r="Q13" s="3">
        <v>50</v>
      </c>
      <c r="R13" s="3">
        <v>40</v>
      </c>
      <c r="S13" s="3">
        <v>40</v>
      </c>
      <c r="T13" s="3">
        <v>100</v>
      </c>
      <c r="U13" s="3">
        <v>80</v>
      </c>
      <c r="V13" s="3">
        <v>60</v>
      </c>
      <c r="W13" s="3">
        <v>60</v>
      </c>
      <c r="X13" s="3">
        <v>100</v>
      </c>
      <c r="Y13" s="3">
        <v>60</v>
      </c>
      <c r="Z13" s="3">
        <v>100</v>
      </c>
      <c r="AA13" s="3">
        <v>66.666666666666657</v>
      </c>
      <c r="AB13" s="3">
        <v>66.666666666666657</v>
      </c>
      <c r="AC13" s="3">
        <v>70.00305221390758</v>
      </c>
    </row>
    <row r="14" spans="1:29" x14ac:dyDescent="0.25">
      <c r="A14" s="2" t="s">
        <v>23</v>
      </c>
      <c r="B14" s="3">
        <v>82.35294117647058</v>
      </c>
      <c r="C14" s="3">
        <v>100</v>
      </c>
      <c r="D14" s="3">
        <v>81.818181818181827</v>
      </c>
      <c r="E14" s="3">
        <v>100</v>
      </c>
      <c r="F14" s="3">
        <v>83.333333333333343</v>
      </c>
      <c r="G14" s="3">
        <v>83.333333333333343</v>
      </c>
      <c r="H14" s="3">
        <v>80</v>
      </c>
      <c r="I14" s="3">
        <v>100</v>
      </c>
      <c r="J14" s="3">
        <v>100</v>
      </c>
      <c r="K14" s="3">
        <v>100</v>
      </c>
      <c r="L14" s="3"/>
      <c r="M14" s="3">
        <v>80</v>
      </c>
      <c r="N14" s="3">
        <v>83.333333333333343</v>
      </c>
      <c r="O14" s="3">
        <v>100</v>
      </c>
      <c r="P14" s="3">
        <v>100</v>
      </c>
      <c r="Q14" s="3">
        <v>100</v>
      </c>
      <c r="R14" s="3">
        <v>80</v>
      </c>
      <c r="S14" s="3"/>
      <c r="T14" s="3">
        <v>100</v>
      </c>
      <c r="U14" s="3">
        <v>80</v>
      </c>
      <c r="V14" s="3">
        <v>80</v>
      </c>
      <c r="W14" s="3">
        <v>80</v>
      </c>
      <c r="X14" s="3"/>
      <c r="Y14" s="3">
        <v>100</v>
      </c>
      <c r="Z14" s="3">
        <v>80</v>
      </c>
      <c r="AA14" s="3">
        <v>100</v>
      </c>
      <c r="AB14" s="3">
        <v>66.666666666666657</v>
      </c>
      <c r="AC14" s="3">
        <v>89.20157456922162</v>
      </c>
    </row>
    <row r="15" spans="1:29" x14ac:dyDescent="0.25">
      <c r="A15" s="2" t="s">
        <v>19</v>
      </c>
      <c r="B15" s="3">
        <v>94.117647058823522</v>
      </c>
      <c r="C15" s="3">
        <v>77.777777777777786</v>
      </c>
      <c r="D15" s="3">
        <v>47.826086956521742</v>
      </c>
      <c r="E15" s="3">
        <v>100</v>
      </c>
      <c r="F15" s="3">
        <v>100</v>
      </c>
      <c r="G15" s="3">
        <v>100</v>
      </c>
      <c r="H15" s="3">
        <v>100</v>
      </c>
      <c r="I15" s="3">
        <v>80</v>
      </c>
      <c r="J15" s="3">
        <v>100</v>
      </c>
      <c r="K15" s="3">
        <v>100</v>
      </c>
      <c r="L15" s="3">
        <v>100</v>
      </c>
      <c r="M15" s="3">
        <v>100</v>
      </c>
      <c r="N15" s="3">
        <v>83.333333333333343</v>
      </c>
      <c r="O15" s="3">
        <v>100</v>
      </c>
      <c r="P15" s="3">
        <v>80</v>
      </c>
      <c r="Q15" s="3">
        <v>83.333333333333343</v>
      </c>
      <c r="R15" s="3">
        <v>100</v>
      </c>
      <c r="S15" s="3">
        <v>80</v>
      </c>
      <c r="T15" s="3">
        <v>100</v>
      </c>
      <c r="U15" s="3">
        <v>100</v>
      </c>
      <c r="V15" s="3">
        <v>80</v>
      </c>
      <c r="W15" s="3">
        <v>100</v>
      </c>
      <c r="X15" s="3">
        <v>100</v>
      </c>
      <c r="Y15" s="3">
        <v>100</v>
      </c>
      <c r="Z15" s="3">
        <v>80</v>
      </c>
      <c r="AA15" s="3">
        <v>83.333333333333343</v>
      </c>
      <c r="AB15" s="3">
        <v>86.666666666666671</v>
      </c>
      <c r="AC15" s="3">
        <v>90.977339942955169</v>
      </c>
    </row>
    <row r="16" spans="1:29" x14ac:dyDescent="0.25">
      <c r="A16" s="2" t="s">
        <v>30</v>
      </c>
      <c r="B16" s="3">
        <v>76.470588235294116</v>
      </c>
      <c r="C16" s="3">
        <v>44.444444444444443</v>
      </c>
      <c r="D16" s="3">
        <v>77.272727272727266</v>
      </c>
      <c r="E16" s="3">
        <v>80</v>
      </c>
      <c r="F16" s="3">
        <v>100</v>
      </c>
      <c r="G16" s="3">
        <v>100</v>
      </c>
      <c r="H16" s="3">
        <v>60</v>
      </c>
      <c r="I16" s="3">
        <v>60</v>
      </c>
      <c r="J16" s="3">
        <v>80</v>
      </c>
      <c r="K16" s="3">
        <v>83.333333333333343</v>
      </c>
      <c r="L16" s="3">
        <v>100</v>
      </c>
      <c r="M16" s="3">
        <v>80</v>
      </c>
      <c r="N16" s="3">
        <v>66.666666666666657</v>
      </c>
      <c r="O16" s="3">
        <v>80</v>
      </c>
      <c r="P16" s="3">
        <v>20</v>
      </c>
      <c r="Q16" s="3">
        <v>66.666666666666657</v>
      </c>
      <c r="R16" s="3">
        <v>60</v>
      </c>
      <c r="S16" s="3">
        <v>60</v>
      </c>
      <c r="T16" s="3">
        <v>80</v>
      </c>
      <c r="U16" s="3">
        <v>80</v>
      </c>
      <c r="V16" s="3">
        <v>80</v>
      </c>
      <c r="W16" s="3">
        <v>80</v>
      </c>
      <c r="X16" s="3">
        <v>80</v>
      </c>
      <c r="Y16" s="3">
        <v>100</v>
      </c>
      <c r="Z16" s="3">
        <v>80</v>
      </c>
      <c r="AA16" s="3">
        <v>66.666666666666657</v>
      </c>
      <c r="AB16" s="3">
        <v>86.666666666666671</v>
      </c>
      <c r="AC16" s="3">
        <v>75.118065183424676</v>
      </c>
    </row>
    <row r="17" spans="1:31" x14ac:dyDescent="0.25">
      <c r="A17" s="2" t="s">
        <v>43</v>
      </c>
      <c r="B17" s="3">
        <v>88.235294117647058</v>
      </c>
      <c r="C17" s="3">
        <v>88.888888888888886</v>
      </c>
      <c r="D17" s="3">
        <v>81.818181818181827</v>
      </c>
      <c r="E17" s="3">
        <v>100</v>
      </c>
      <c r="F17" s="3">
        <v>83.333333333333343</v>
      </c>
      <c r="G17" s="3">
        <v>100</v>
      </c>
      <c r="H17" s="3">
        <v>100</v>
      </c>
      <c r="I17" s="3">
        <v>100</v>
      </c>
      <c r="J17" s="3">
        <v>100</v>
      </c>
      <c r="K17" s="3">
        <v>100</v>
      </c>
      <c r="L17" s="3">
        <v>100</v>
      </c>
      <c r="M17" s="3">
        <v>100</v>
      </c>
      <c r="N17" s="3">
        <v>100</v>
      </c>
      <c r="O17" s="3">
        <v>100</v>
      </c>
      <c r="P17" s="3">
        <v>100</v>
      </c>
      <c r="Q17" s="3">
        <v>100</v>
      </c>
      <c r="R17" s="3">
        <v>100</v>
      </c>
      <c r="S17" s="3">
        <v>100</v>
      </c>
      <c r="T17" s="3">
        <v>100</v>
      </c>
      <c r="U17" s="3">
        <v>100</v>
      </c>
      <c r="V17" s="3">
        <v>100</v>
      </c>
      <c r="W17" s="3">
        <v>100</v>
      </c>
      <c r="X17" s="3">
        <v>100</v>
      </c>
      <c r="Y17" s="3">
        <v>100</v>
      </c>
      <c r="Z17" s="3">
        <v>100</v>
      </c>
      <c r="AA17" s="3">
        <v>100</v>
      </c>
      <c r="AB17" s="3">
        <v>100</v>
      </c>
      <c r="AC17" s="3">
        <v>97.862062894742635</v>
      </c>
    </row>
    <row r="18" spans="1:31" x14ac:dyDescent="0.25">
      <c r="A18" s="2" t="s">
        <v>28</v>
      </c>
      <c r="B18" s="3">
        <v>88.235294117647058</v>
      </c>
      <c r="C18" s="3">
        <v>44.444444444444443</v>
      </c>
      <c r="D18" s="3">
        <v>72.727272727272734</v>
      </c>
      <c r="E18" s="3">
        <v>100</v>
      </c>
      <c r="F18" s="3">
        <v>100</v>
      </c>
      <c r="G18" s="3">
        <v>100</v>
      </c>
      <c r="H18" s="3">
        <v>80</v>
      </c>
      <c r="I18" s="3">
        <v>60</v>
      </c>
      <c r="J18" s="3">
        <v>60</v>
      </c>
      <c r="K18" s="3">
        <v>100</v>
      </c>
      <c r="L18" s="3">
        <v>100</v>
      </c>
      <c r="M18" s="3">
        <v>100</v>
      </c>
      <c r="N18" s="3">
        <v>50</v>
      </c>
      <c r="O18" s="3">
        <v>100</v>
      </c>
      <c r="P18" s="3"/>
      <c r="Q18" s="3">
        <v>66.666666666666657</v>
      </c>
      <c r="R18" s="3">
        <v>100</v>
      </c>
      <c r="S18" s="3">
        <v>20</v>
      </c>
      <c r="T18" s="3">
        <v>80</v>
      </c>
      <c r="U18" s="3">
        <v>100</v>
      </c>
      <c r="V18" s="3">
        <v>40</v>
      </c>
      <c r="W18" s="3">
        <v>100</v>
      </c>
      <c r="X18" s="3">
        <v>100</v>
      </c>
      <c r="Y18" s="3">
        <v>100</v>
      </c>
      <c r="Z18" s="3">
        <v>80</v>
      </c>
      <c r="AA18" s="3">
        <v>66.666666666666657</v>
      </c>
      <c r="AB18" s="3">
        <v>86.666666666666671</v>
      </c>
      <c r="AC18" s="3">
        <v>80.592577357283233</v>
      </c>
    </row>
    <row r="19" spans="1:31" x14ac:dyDescent="0.25">
      <c r="A19" s="2" t="s">
        <v>42</v>
      </c>
      <c r="B19" s="3">
        <v>100</v>
      </c>
      <c r="C19" s="3">
        <v>88.888888888888886</v>
      </c>
      <c r="D19" s="3">
        <v>86.36363636363636</v>
      </c>
      <c r="E19" s="3">
        <v>100</v>
      </c>
      <c r="F19" s="3">
        <v>100</v>
      </c>
      <c r="G19" s="3">
        <v>100</v>
      </c>
      <c r="H19" s="3">
        <v>100</v>
      </c>
      <c r="I19" s="3">
        <v>100</v>
      </c>
      <c r="J19" s="3">
        <v>80</v>
      </c>
      <c r="K19" s="3">
        <v>100</v>
      </c>
      <c r="L19" s="3">
        <v>100</v>
      </c>
      <c r="M19" s="3">
        <v>100</v>
      </c>
      <c r="N19" s="3">
        <v>100</v>
      </c>
      <c r="O19" s="3">
        <v>100</v>
      </c>
      <c r="P19" s="3">
        <v>100</v>
      </c>
      <c r="Q19" s="3">
        <v>100</v>
      </c>
      <c r="R19" s="3">
        <v>100</v>
      </c>
      <c r="S19" s="3">
        <v>80</v>
      </c>
      <c r="T19" s="3">
        <v>100</v>
      </c>
      <c r="U19" s="3">
        <v>100</v>
      </c>
      <c r="V19" s="3">
        <v>80</v>
      </c>
      <c r="W19" s="3">
        <v>100</v>
      </c>
      <c r="X19" s="3">
        <v>100</v>
      </c>
      <c r="Y19" s="3">
        <v>100</v>
      </c>
      <c r="Z19" s="3">
        <v>100</v>
      </c>
      <c r="AA19" s="3">
        <v>100</v>
      </c>
      <c r="AB19" s="3">
        <v>100</v>
      </c>
      <c r="AC19" s="3">
        <v>96.861204638982414</v>
      </c>
    </row>
    <row r="20" spans="1:31" x14ac:dyDescent="0.25">
      <c r="A20" s="2" t="s">
        <v>32</v>
      </c>
      <c r="B20" s="3"/>
      <c r="C20" s="3"/>
      <c r="D20" s="3"/>
      <c r="E20" s="3"/>
      <c r="F20" s="3"/>
      <c r="G20" s="3"/>
      <c r="H20" s="3">
        <v>80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80</v>
      </c>
    </row>
    <row r="21" spans="1:31" x14ac:dyDescent="0.25">
      <c r="A21" s="2" t="s">
        <v>21</v>
      </c>
      <c r="B21" s="3">
        <v>88.235294117647058</v>
      </c>
      <c r="C21" s="3">
        <v>44.444444444444443</v>
      </c>
      <c r="D21" s="3">
        <v>73.91304347826086</v>
      </c>
      <c r="E21" s="3">
        <v>60</v>
      </c>
      <c r="F21" s="3">
        <v>50</v>
      </c>
      <c r="G21" s="3">
        <v>83.333333333333343</v>
      </c>
      <c r="H21" s="3">
        <v>80</v>
      </c>
      <c r="I21" s="3">
        <v>80</v>
      </c>
      <c r="J21" s="3">
        <v>60</v>
      </c>
      <c r="K21" s="3">
        <v>100</v>
      </c>
      <c r="L21" s="3">
        <v>40</v>
      </c>
      <c r="M21" s="3">
        <v>40</v>
      </c>
      <c r="N21" s="3">
        <v>16.666666666666664</v>
      </c>
      <c r="O21" s="3">
        <v>60</v>
      </c>
      <c r="P21" s="3">
        <v>40</v>
      </c>
      <c r="Q21" s="3">
        <v>100</v>
      </c>
      <c r="R21" s="3">
        <v>100</v>
      </c>
      <c r="S21" s="3">
        <v>80</v>
      </c>
      <c r="T21" s="3">
        <v>20</v>
      </c>
      <c r="U21" s="3">
        <v>100</v>
      </c>
      <c r="V21" s="3">
        <v>60</v>
      </c>
      <c r="W21" s="3">
        <v>80</v>
      </c>
      <c r="X21" s="3">
        <v>100</v>
      </c>
      <c r="Y21" s="3">
        <v>100</v>
      </c>
      <c r="Z21" s="3">
        <v>80</v>
      </c>
      <c r="AA21" s="3">
        <v>50</v>
      </c>
      <c r="AB21" s="3">
        <v>73.333333333333329</v>
      </c>
      <c r="AC21" s="3">
        <v>68.886152421247616</v>
      </c>
    </row>
    <row r="22" spans="1:31" x14ac:dyDescent="0.25">
      <c r="A22" s="2" t="s">
        <v>31</v>
      </c>
      <c r="B22" s="3">
        <v>100</v>
      </c>
      <c r="C22" s="3">
        <v>77.777777777777786</v>
      </c>
      <c r="D22" s="3">
        <v>86.956521739130437</v>
      </c>
      <c r="E22" s="3">
        <v>100</v>
      </c>
      <c r="F22" s="3">
        <v>66.666666666666657</v>
      </c>
      <c r="G22" s="3">
        <v>66.666666666666657</v>
      </c>
      <c r="H22" s="3">
        <v>100</v>
      </c>
      <c r="I22" s="3">
        <v>100</v>
      </c>
      <c r="J22" s="3">
        <v>80</v>
      </c>
      <c r="K22" s="3">
        <v>100</v>
      </c>
      <c r="L22" s="3">
        <v>100</v>
      </c>
      <c r="M22" s="3">
        <v>60</v>
      </c>
      <c r="N22" s="3">
        <v>100</v>
      </c>
      <c r="O22" s="3">
        <v>80</v>
      </c>
      <c r="P22" s="3">
        <v>80</v>
      </c>
      <c r="Q22" s="3">
        <v>100</v>
      </c>
      <c r="R22" s="3">
        <v>80</v>
      </c>
      <c r="S22" s="3">
        <v>60</v>
      </c>
      <c r="T22" s="3">
        <v>60</v>
      </c>
      <c r="U22" s="3">
        <v>100</v>
      </c>
      <c r="V22" s="3">
        <v>100</v>
      </c>
      <c r="W22" s="3">
        <v>100</v>
      </c>
      <c r="X22" s="3">
        <v>80</v>
      </c>
      <c r="Y22" s="3">
        <v>100</v>
      </c>
      <c r="Z22" s="3">
        <v>60</v>
      </c>
      <c r="AA22" s="3">
        <v>66.666666666666657</v>
      </c>
      <c r="AB22" s="3">
        <v>93.333333333333329</v>
      </c>
      <c r="AC22" s="3">
        <v>85.113616031490423</v>
      </c>
    </row>
    <row r="23" spans="1:31" x14ac:dyDescent="0.25">
      <c r="A23" s="2" t="s">
        <v>36</v>
      </c>
      <c r="B23" s="3"/>
      <c r="C23" s="3"/>
      <c r="D23" s="3">
        <v>60.869565217391312</v>
      </c>
      <c r="E23" s="3">
        <v>80</v>
      </c>
      <c r="F23" s="3">
        <v>66.666666666666657</v>
      </c>
      <c r="G23" s="3"/>
      <c r="H23" s="3">
        <v>80</v>
      </c>
      <c r="I23" s="3">
        <v>60</v>
      </c>
      <c r="J23" s="3">
        <v>80</v>
      </c>
      <c r="K23" s="3">
        <v>100</v>
      </c>
      <c r="L23" s="3">
        <v>80</v>
      </c>
      <c r="M23" s="3"/>
      <c r="N23" s="3"/>
      <c r="O23" s="3">
        <v>80</v>
      </c>
      <c r="P23" s="3">
        <v>60</v>
      </c>
      <c r="Q23" s="3">
        <v>100</v>
      </c>
      <c r="R23" s="3">
        <v>100</v>
      </c>
      <c r="S23" s="3">
        <v>40</v>
      </c>
      <c r="T23" s="3"/>
      <c r="U23" s="3">
        <v>100</v>
      </c>
      <c r="V23" s="3">
        <v>40</v>
      </c>
      <c r="W23" s="3">
        <v>100</v>
      </c>
      <c r="X23" s="3">
        <v>80</v>
      </c>
      <c r="Y23" s="3"/>
      <c r="Z23" s="3">
        <v>40</v>
      </c>
      <c r="AA23" s="3">
        <v>66.666666666666657</v>
      </c>
      <c r="AB23" s="3">
        <v>86.666666666666671</v>
      </c>
      <c r="AC23" s="3">
        <v>75.043478260869577</v>
      </c>
    </row>
    <row r="24" spans="1:31" x14ac:dyDescent="0.25">
      <c r="A24" s="2" t="s">
        <v>159</v>
      </c>
      <c r="B24" s="3">
        <v>85.121107266435999</v>
      </c>
      <c r="C24" s="3">
        <v>72.916666666666671</v>
      </c>
      <c r="D24" s="3">
        <v>75.351339481774247</v>
      </c>
      <c r="E24" s="3">
        <v>91.111111111111114</v>
      </c>
      <c r="F24" s="3">
        <v>85.18518518518519</v>
      </c>
      <c r="G24" s="3">
        <v>89.215686274509807</v>
      </c>
      <c r="H24" s="3">
        <v>83.15789473684211</v>
      </c>
      <c r="I24" s="3">
        <v>83.333333333333329</v>
      </c>
      <c r="J24" s="3">
        <v>83.333333333333329</v>
      </c>
      <c r="K24" s="3">
        <v>93.518518518518519</v>
      </c>
      <c r="L24" s="3">
        <v>89.411764705882348</v>
      </c>
      <c r="M24" s="3">
        <v>81.17647058823529</v>
      </c>
      <c r="N24" s="3">
        <v>77.450980392156865</v>
      </c>
      <c r="O24" s="3">
        <v>88.888888888888886</v>
      </c>
      <c r="P24" s="3">
        <v>77.647058823529406</v>
      </c>
      <c r="Q24" s="3">
        <v>87.962962962962976</v>
      </c>
      <c r="R24" s="3">
        <v>83.333333333333329</v>
      </c>
      <c r="S24" s="3">
        <v>69.411764705882348</v>
      </c>
      <c r="T24" s="3">
        <v>82.352941176470594</v>
      </c>
      <c r="U24" s="3">
        <v>91.111111111111114</v>
      </c>
      <c r="V24" s="3">
        <v>77.777777777777771</v>
      </c>
      <c r="W24" s="3">
        <v>86.666666666666671</v>
      </c>
      <c r="X24" s="3">
        <v>91.764705882352942</v>
      </c>
      <c r="Y24" s="3">
        <v>91.764705882352942</v>
      </c>
      <c r="Z24" s="3">
        <v>83.333333333333329</v>
      </c>
      <c r="AA24" s="3">
        <v>81.481481481481495</v>
      </c>
      <c r="AB24" s="3">
        <v>82.592592592592581</v>
      </c>
      <c r="AC24" s="3">
        <v>83.99308687902041</v>
      </c>
    </row>
    <row r="26" spans="1:31" ht="26.25" x14ac:dyDescent="0.4">
      <c r="AE26" s="4" t="s">
        <v>163</v>
      </c>
    </row>
  </sheetData>
  <conditionalFormatting pivot="1" sqref="AC5:AC2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pane xSplit="1" topLeftCell="C1" activePane="topRight" state="frozen"/>
      <selection pane="topRight" activeCell="G2" sqref="G2"/>
    </sheetView>
  </sheetViews>
  <sheetFormatPr baseColWidth="10" defaultRowHeight="15" x14ac:dyDescent="0.25"/>
  <cols>
    <col min="1" max="1" width="43.42578125" customWidth="1"/>
    <col min="2" max="2" width="13.42578125" bestFit="1" customWidth="1"/>
    <col min="6" max="6" width="11.42578125" style="5"/>
    <col min="7" max="7" width="24.7109375" customWidth="1"/>
  </cols>
  <sheetData>
    <row r="1" spans="1:8" x14ac:dyDescent="0.25">
      <c r="A1" t="s">
        <v>168</v>
      </c>
      <c r="B1" t="s">
        <v>169</v>
      </c>
      <c r="C1" t="s">
        <v>170</v>
      </c>
      <c r="D1" t="s">
        <v>172</v>
      </c>
      <c r="E1" t="s">
        <v>171</v>
      </c>
      <c r="F1" s="5" t="s">
        <v>174</v>
      </c>
      <c r="G1" t="s">
        <v>173</v>
      </c>
      <c r="H1" t="s">
        <v>167</v>
      </c>
    </row>
    <row r="2" spans="1:8" x14ac:dyDescent="0.25">
      <c r="A2" t="s">
        <v>11</v>
      </c>
      <c r="H2" s="6">
        <f>ROUND(2+8*SUM(B2:F2)/5,1)</f>
        <v>2</v>
      </c>
    </row>
    <row r="3" spans="1:8" x14ac:dyDescent="0.25">
      <c r="A3" t="s">
        <v>24</v>
      </c>
      <c r="H3" s="6">
        <f t="shared" ref="H3:H23" si="0">ROUND(2+8*SUM(B3:F3)/5,1)</f>
        <v>2</v>
      </c>
    </row>
    <row r="4" spans="1:8" x14ac:dyDescent="0.25">
      <c r="A4" t="s">
        <v>38</v>
      </c>
      <c r="H4" s="6">
        <f t="shared" si="0"/>
        <v>2</v>
      </c>
    </row>
    <row r="5" spans="1:8" x14ac:dyDescent="0.25">
      <c r="A5" t="s">
        <v>40</v>
      </c>
      <c r="H5" s="6">
        <f t="shared" si="0"/>
        <v>2</v>
      </c>
    </row>
    <row r="6" spans="1:8" x14ac:dyDescent="0.25">
      <c r="A6" t="s">
        <v>164</v>
      </c>
      <c r="H6" s="6">
        <f t="shared" si="0"/>
        <v>2</v>
      </c>
    </row>
    <row r="7" spans="1:8" x14ac:dyDescent="0.25">
      <c r="A7" t="s">
        <v>27</v>
      </c>
      <c r="H7" s="6">
        <f t="shared" si="0"/>
        <v>2</v>
      </c>
    </row>
    <row r="8" spans="1:8" x14ac:dyDescent="0.25">
      <c r="A8" t="s">
        <v>35</v>
      </c>
      <c r="H8" s="6">
        <f t="shared" si="0"/>
        <v>2</v>
      </c>
    </row>
    <row r="9" spans="1:8" x14ac:dyDescent="0.25">
      <c r="A9" t="s">
        <v>17</v>
      </c>
      <c r="H9" s="6">
        <f t="shared" si="0"/>
        <v>2</v>
      </c>
    </row>
    <row r="10" spans="1:8" x14ac:dyDescent="0.25">
      <c r="A10" t="s">
        <v>41</v>
      </c>
      <c r="H10" s="6">
        <f t="shared" si="0"/>
        <v>2</v>
      </c>
    </row>
    <row r="11" spans="1:8" x14ac:dyDescent="0.25">
      <c r="A11" t="s">
        <v>23</v>
      </c>
      <c r="H11" s="6">
        <f t="shared" si="0"/>
        <v>2</v>
      </c>
    </row>
    <row r="12" spans="1:8" x14ac:dyDescent="0.25">
      <c r="A12" t="s">
        <v>19</v>
      </c>
      <c r="H12" s="6">
        <f t="shared" si="0"/>
        <v>2</v>
      </c>
    </row>
    <row r="13" spans="1:8" x14ac:dyDescent="0.25">
      <c r="A13" t="s">
        <v>30</v>
      </c>
      <c r="H13" s="6">
        <f t="shared" si="0"/>
        <v>2</v>
      </c>
    </row>
    <row r="14" spans="1:8" s="5" customFormat="1" x14ac:dyDescent="0.25">
      <c r="A14" s="5" t="s">
        <v>26</v>
      </c>
      <c r="H14" s="6">
        <f t="shared" si="0"/>
        <v>2</v>
      </c>
    </row>
    <row r="15" spans="1:8" x14ac:dyDescent="0.25">
      <c r="A15" t="s">
        <v>34</v>
      </c>
      <c r="H15" s="6">
        <f t="shared" si="0"/>
        <v>2</v>
      </c>
    </row>
    <row r="16" spans="1:8" x14ac:dyDescent="0.25">
      <c r="A16" t="s">
        <v>166</v>
      </c>
      <c r="H16" s="6">
        <f t="shared" si="0"/>
        <v>2</v>
      </c>
    </row>
    <row r="17" spans="1:8" x14ac:dyDescent="0.25">
      <c r="A17" t="s">
        <v>165</v>
      </c>
      <c r="H17" s="6">
        <f t="shared" si="0"/>
        <v>2</v>
      </c>
    </row>
    <row r="18" spans="1:8" x14ac:dyDescent="0.25">
      <c r="A18" t="s">
        <v>43</v>
      </c>
      <c r="H18" s="6">
        <f t="shared" si="0"/>
        <v>2</v>
      </c>
    </row>
    <row r="19" spans="1:8" x14ac:dyDescent="0.25">
      <c r="A19" t="s">
        <v>28</v>
      </c>
      <c r="H19" s="6">
        <f t="shared" si="0"/>
        <v>2</v>
      </c>
    </row>
    <row r="20" spans="1:8" x14ac:dyDescent="0.25">
      <c r="A20" t="s">
        <v>42</v>
      </c>
      <c r="H20" s="6">
        <f t="shared" si="0"/>
        <v>2</v>
      </c>
    </row>
    <row r="21" spans="1:8" x14ac:dyDescent="0.25">
      <c r="A21" t="s">
        <v>21</v>
      </c>
      <c r="H21" s="6">
        <f t="shared" si="0"/>
        <v>2</v>
      </c>
    </row>
    <row r="22" spans="1:8" x14ac:dyDescent="0.25">
      <c r="A22" t="s">
        <v>31</v>
      </c>
      <c r="H22" s="6">
        <f t="shared" si="0"/>
        <v>2</v>
      </c>
    </row>
    <row r="23" spans="1:8" x14ac:dyDescent="0.25">
      <c r="A23" t="s">
        <v>36</v>
      </c>
      <c r="H23" s="6">
        <f t="shared" si="0"/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6"/>
  <sheetViews>
    <sheetView workbookViewId="0">
      <selection activeCell="F2" sqref="F2"/>
    </sheetView>
  </sheetViews>
  <sheetFormatPr baseColWidth="10" defaultRowHeight="15" x14ac:dyDescent="0.25"/>
  <cols>
    <col min="1" max="1" width="44" bestFit="1" customWidth="1"/>
    <col min="2" max="2" width="25.7109375" bestFit="1" customWidth="1"/>
    <col min="3" max="3" width="19" customWidth="1"/>
    <col min="4" max="6" width="16.5703125" customWidth="1"/>
    <col min="7" max="7" width="21.7109375" customWidth="1"/>
    <col min="8" max="8" width="29.7109375" customWidth="1"/>
    <col min="9" max="9" width="17" bestFit="1" customWidth="1"/>
    <col min="10" max="10" width="126.85546875" bestFit="1" customWidth="1"/>
    <col min="11" max="11" width="18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160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11</v>
      </c>
      <c r="C2">
        <v>5</v>
      </c>
      <c r="D2">
        <v>4</v>
      </c>
      <c r="E2">
        <v>5</v>
      </c>
      <c r="F2">
        <f>Tabla2[[#This Row],[Score Best Ever]]/Tabla2[[#This Row],[Points Possible]]*100</f>
        <v>80</v>
      </c>
      <c r="G2">
        <v>1</v>
      </c>
      <c r="H2" t="s">
        <v>12</v>
      </c>
      <c r="I2" t="s">
        <v>13</v>
      </c>
      <c r="J2" t="s">
        <v>14</v>
      </c>
      <c r="K2" t="s">
        <v>15</v>
      </c>
    </row>
    <row r="3" spans="1:11" x14ac:dyDescent="0.25">
      <c r="A3" t="s">
        <v>10</v>
      </c>
      <c r="B3" t="s">
        <v>17</v>
      </c>
      <c r="C3">
        <v>5</v>
      </c>
      <c r="D3">
        <v>4</v>
      </c>
      <c r="E3">
        <v>5</v>
      </c>
      <c r="F3">
        <f>Tabla2[[#This Row],[Score Best Ever]]/Tabla2[[#This Row],[Points Possible]]*100</f>
        <v>80</v>
      </c>
      <c r="G3">
        <v>4</v>
      </c>
      <c r="H3" t="s">
        <v>18</v>
      </c>
      <c r="I3" t="s">
        <v>13</v>
      </c>
      <c r="J3" t="s">
        <v>14</v>
      </c>
      <c r="K3" t="s">
        <v>15</v>
      </c>
    </row>
    <row r="4" spans="1:11" x14ac:dyDescent="0.25">
      <c r="A4" t="s">
        <v>10</v>
      </c>
      <c r="B4" t="s">
        <v>19</v>
      </c>
      <c r="C4">
        <v>5</v>
      </c>
      <c r="D4">
        <v>5</v>
      </c>
      <c r="E4">
        <v>5</v>
      </c>
      <c r="F4">
        <f>Tabla2[[#This Row],[Score Best Ever]]/Tabla2[[#This Row],[Points Possible]]*100</f>
        <v>100</v>
      </c>
      <c r="G4">
        <v>2</v>
      </c>
      <c r="H4" t="s">
        <v>20</v>
      </c>
      <c r="I4" t="s">
        <v>13</v>
      </c>
      <c r="J4" t="s">
        <v>14</v>
      </c>
      <c r="K4" t="s">
        <v>15</v>
      </c>
    </row>
    <row r="5" spans="1:11" x14ac:dyDescent="0.25">
      <c r="A5" t="s">
        <v>10</v>
      </c>
      <c r="B5" t="s">
        <v>21</v>
      </c>
      <c r="C5">
        <v>4</v>
      </c>
      <c r="D5">
        <v>5</v>
      </c>
      <c r="E5">
        <v>5</v>
      </c>
      <c r="F5">
        <f>Tabla2[[#This Row],[Score Best Ever]]/Tabla2[[#This Row],[Points Possible]]*100</f>
        <v>100</v>
      </c>
      <c r="G5">
        <v>3</v>
      </c>
      <c r="H5" t="s">
        <v>22</v>
      </c>
      <c r="I5" t="s">
        <v>13</v>
      </c>
      <c r="J5" t="s">
        <v>14</v>
      </c>
      <c r="K5" t="s">
        <v>15</v>
      </c>
    </row>
    <row r="6" spans="1:11" x14ac:dyDescent="0.25">
      <c r="A6" t="s">
        <v>10</v>
      </c>
      <c r="B6" t="s">
        <v>23</v>
      </c>
      <c r="C6">
        <v>4</v>
      </c>
      <c r="D6">
        <v>4</v>
      </c>
      <c r="E6">
        <v>5</v>
      </c>
      <c r="F6">
        <f>Tabla2[[#This Row],[Score Best Ever]]/Tabla2[[#This Row],[Points Possible]]*100</f>
        <v>80</v>
      </c>
      <c r="G6">
        <v>2</v>
      </c>
      <c r="H6" t="s">
        <v>18</v>
      </c>
      <c r="I6" t="s">
        <v>13</v>
      </c>
      <c r="J6" t="s">
        <v>14</v>
      </c>
      <c r="K6" t="s">
        <v>15</v>
      </c>
    </row>
    <row r="7" spans="1:11" x14ac:dyDescent="0.25">
      <c r="A7" t="s">
        <v>10</v>
      </c>
      <c r="B7" t="s">
        <v>24</v>
      </c>
      <c r="C7">
        <v>4</v>
      </c>
      <c r="D7">
        <v>4</v>
      </c>
      <c r="E7">
        <v>5</v>
      </c>
      <c r="F7">
        <f>Tabla2[[#This Row],[Score Best Ever]]/Tabla2[[#This Row],[Points Possible]]*100</f>
        <v>80</v>
      </c>
      <c r="G7">
        <v>1</v>
      </c>
      <c r="H7" t="s">
        <v>25</v>
      </c>
      <c r="I7" t="s">
        <v>13</v>
      </c>
      <c r="J7" t="s">
        <v>14</v>
      </c>
      <c r="K7" t="s">
        <v>15</v>
      </c>
    </row>
    <row r="8" spans="1:11" x14ac:dyDescent="0.25">
      <c r="A8" t="s">
        <v>10</v>
      </c>
      <c r="B8" t="s">
        <v>27</v>
      </c>
      <c r="C8">
        <v>4</v>
      </c>
      <c r="D8">
        <v>3</v>
      </c>
      <c r="E8">
        <v>5</v>
      </c>
      <c r="F8">
        <f>Tabla2[[#This Row],[Score Best Ever]]/Tabla2[[#This Row],[Points Possible]]*100</f>
        <v>60</v>
      </c>
      <c r="G8">
        <v>1</v>
      </c>
      <c r="H8" t="s">
        <v>20</v>
      </c>
      <c r="I8" t="s">
        <v>13</v>
      </c>
      <c r="J8" t="s">
        <v>14</v>
      </c>
      <c r="K8" t="s">
        <v>15</v>
      </c>
    </row>
    <row r="9" spans="1:11" x14ac:dyDescent="0.25">
      <c r="A9" t="s">
        <v>10</v>
      </c>
      <c r="B9" t="s">
        <v>28</v>
      </c>
      <c r="C9">
        <v>5</v>
      </c>
      <c r="D9">
        <v>5</v>
      </c>
      <c r="E9">
        <v>5</v>
      </c>
      <c r="F9">
        <f>Tabla2[[#This Row],[Score Best Ever]]/Tabla2[[#This Row],[Points Possible]]*100</f>
        <v>100</v>
      </c>
      <c r="G9">
        <v>8</v>
      </c>
      <c r="H9" t="s">
        <v>29</v>
      </c>
      <c r="I9" t="s">
        <v>13</v>
      </c>
      <c r="J9" t="s">
        <v>14</v>
      </c>
      <c r="K9" t="s">
        <v>15</v>
      </c>
    </row>
    <row r="10" spans="1:11" x14ac:dyDescent="0.25">
      <c r="A10" t="s">
        <v>10</v>
      </c>
      <c r="B10" t="s">
        <v>30</v>
      </c>
      <c r="C10">
        <v>4</v>
      </c>
      <c r="D10">
        <v>3</v>
      </c>
      <c r="E10">
        <v>5</v>
      </c>
      <c r="F10">
        <f>Tabla2[[#This Row],[Score Best Ever]]/Tabla2[[#This Row],[Points Possible]]*100</f>
        <v>60</v>
      </c>
      <c r="G10">
        <v>2</v>
      </c>
      <c r="H10" t="s">
        <v>18</v>
      </c>
      <c r="I10" t="s">
        <v>13</v>
      </c>
      <c r="J10" t="s">
        <v>14</v>
      </c>
      <c r="K10" t="s">
        <v>15</v>
      </c>
    </row>
    <row r="11" spans="1:11" x14ac:dyDescent="0.25">
      <c r="A11" t="s">
        <v>10</v>
      </c>
      <c r="B11" t="s">
        <v>31</v>
      </c>
      <c r="C11">
        <v>4</v>
      </c>
      <c r="D11">
        <v>4</v>
      </c>
      <c r="E11">
        <v>5</v>
      </c>
      <c r="F11">
        <f>Tabla2[[#This Row],[Score Best Ever]]/Tabla2[[#This Row],[Points Possible]]*100</f>
        <v>80</v>
      </c>
      <c r="G11">
        <v>1</v>
      </c>
      <c r="H11" t="s">
        <v>25</v>
      </c>
      <c r="I11" t="s">
        <v>13</v>
      </c>
      <c r="J11" t="s">
        <v>14</v>
      </c>
      <c r="K11" t="s">
        <v>15</v>
      </c>
    </row>
    <row r="12" spans="1:11" x14ac:dyDescent="0.25">
      <c r="A12" t="s">
        <v>10</v>
      </c>
      <c r="B12" t="s">
        <v>35</v>
      </c>
      <c r="C12">
        <v>4</v>
      </c>
      <c r="D12">
        <v>2</v>
      </c>
      <c r="E12">
        <v>5</v>
      </c>
      <c r="F12">
        <f>Tabla2[[#This Row],[Score Best Ever]]/Tabla2[[#This Row],[Points Possible]]*100</f>
        <v>40</v>
      </c>
      <c r="G12">
        <v>1</v>
      </c>
      <c r="H12" t="s">
        <v>20</v>
      </c>
      <c r="I12" t="s">
        <v>13</v>
      </c>
      <c r="J12" t="s">
        <v>14</v>
      </c>
      <c r="K12" t="s">
        <v>15</v>
      </c>
    </row>
    <row r="13" spans="1:11" x14ac:dyDescent="0.25">
      <c r="A13" t="s">
        <v>10</v>
      </c>
      <c r="B13" t="s">
        <v>36</v>
      </c>
      <c r="C13">
        <v>4</v>
      </c>
      <c r="D13">
        <v>5</v>
      </c>
      <c r="E13">
        <v>5</v>
      </c>
      <c r="F13">
        <f>Tabla2[[#This Row],[Score Best Ever]]/Tabla2[[#This Row],[Points Possible]]*100</f>
        <v>100</v>
      </c>
      <c r="G13">
        <v>2</v>
      </c>
      <c r="H13" t="s">
        <v>20</v>
      </c>
      <c r="I13" t="s">
        <v>13</v>
      </c>
      <c r="J13" t="s">
        <v>14</v>
      </c>
      <c r="K13" t="s">
        <v>15</v>
      </c>
    </row>
    <row r="14" spans="1:11" x14ac:dyDescent="0.25">
      <c r="A14" t="s">
        <v>10</v>
      </c>
      <c r="B14" t="s">
        <v>37</v>
      </c>
      <c r="C14">
        <v>5</v>
      </c>
      <c r="D14">
        <v>5</v>
      </c>
      <c r="E14">
        <v>5</v>
      </c>
      <c r="F14">
        <f>Tabla2[[#This Row],[Score Best Ever]]/Tabla2[[#This Row],[Points Possible]]*100</f>
        <v>100</v>
      </c>
      <c r="G14">
        <v>2</v>
      </c>
      <c r="H14" t="s">
        <v>12</v>
      </c>
      <c r="I14" t="s">
        <v>13</v>
      </c>
      <c r="J14" t="s">
        <v>14</v>
      </c>
      <c r="K14" t="s">
        <v>15</v>
      </c>
    </row>
    <row r="15" spans="1:11" x14ac:dyDescent="0.25">
      <c r="A15" t="s">
        <v>10</v>
      </c>
      <c r="B15" t="s">
        <v>38</v>
      </c>
      <c r="C15">
        <v>5</v>
      </c>
      <c r="D15">
        <v>5</v>
      </c>
      <c r="E15">
        <v>5</v>
      </c>
      <c r="F15">
        <f>Tabla2[[#This Row],[Score Best Ever]]/Tabla2[[#This Row],[Points Possible]]*100</f>
        <v>100</v>
      </c>
      <c r="G15">
        <v>11</v>
      </c>
      <c r="H15" t="s">
        <v>39</v>
      </c>
      <c r="I15" t="s">
        <v>13</v>
      </c>
      <c r="J15" t="s">
        <v>14</v>
      </c>
      <c r="K15" t="s">
        <v>15</v>
      </c>
    </row>
    <row r="16" spans="1:11" x14ac:dyDescent="0.25">
      <c r="A16" t="s">
        <v>10</v>
      </c>
      <c r="B16" t="s">
        <v>40</v>
      </c>
      <c r="C16">
        <v>5</v>
      </c>
      <c r="D16">
        <v>5</v>
      </c>
      <c r="E16">
        <v>5</v>
      </c>
      <c r="F16">
        <f>Tabla2[[#This Row],[Score Best Ever]]/Tabla2[[#This Row],[Points Possible]]*100</f>
        <v>100</v>
      </c>
      <c r="G16">
        <v>2</v>
      </c>
      <c r="H16" t="s">
        <v>12</v>
      </c>
      <c r="I16" t="s">
        <v>13</v>
      </c>
      <c r="J16" t="s">
        <v>14</v>
      </c>
      <c r="K16" t="s">
        <v>15</v>
      </c>
    </row>
    <row r="17" spans="1:11" x14ac:dyDescent="0.25">
      <c r="A17" t="s">
        <v>10</v>
      </c>
      <c r="B17" t="s">
        <v>41</v>
      </c>
      <c r="C17">
        <v>4</v>
      </c>
      <c r="D17">
        <v>2</v>
      </c>
      <c r="E17">
        <v>5</v>
      </c>
      <c r="F17">
        <f>Tabla2[[#This Row],[Score Best Ever]]/Tabla2[[#This Row],[Points Possible]]*100</f>
        <v>40</v>
      </c>
      <c r="G17">
        <v>1</v>
      </c>
      <c r="H17" t="s">
        <v>25</v>
      </c>
      <c r="I17" t="s">
        <v>13</v>
      </c>
      <c r="J17" t="s">
        <v>14</v>
      </c>
      <c r="K17" t="s">
        <v>15</v>
      </c>
    </row>
    <row r="18" spans="1:11" x14ac:dyDescent="0.25">
      <c r="A18" t="s">
        <v>10</v>
      </c>
      <c r="B18" t="s">
        <v>42</v>
      </c>
      <c r="C18">
        <v>4</v>
      </c>
      <c r="D18">
        <v>5</v>
      </c>
      <c r="E18">
        <v>5</v>
      </c>
      <c r="F18">
        <f>Tabla2[[#This Row],[Score Best Ever]]/Tabla2[[#This Row],[Points Possible]]*100</f>
        <v>100</v>
      </c>
      <c r="G18">
        <v>1</v>
      </c>
      <c r="H18" t="s">
        <v>25</v>
      </c>
      <c r="I18" t="s">
        <v>13</v>
      </c>
      <c r="J18" t="s">
        <v>14</v>
      </c>
      <c r="K18" t="s">
        <v>15</v>
      </c>
    </row>
    <row r="19" spans="1:11" x14ac:dyDescent="0.25">
      <c r="A19" t="s">
        <v>10</v>
      </c>
      <c r="B19" t="s">
        <v>43</v>
      </c>
      <c r="C19">
        <v>5</v>
      </c>
      <c r="D19">
        <v>5</v>
      </c>
      <c r="E19">
        <v>5</v>
      </c>
      <c r="F19">
        <f>Tabla2[[#This Row],[Score Best Ever]]/Tabla2[[#This Row],[Points Possible]]*100</f>
        <v>100</v>
      </c>
      <c r="G19">
        <v>5</v>
      </c>
      <c r="H19" t="s">
        <v>44</v>
      </c>
      <c r="I19" t="s">
        <v>13</v>
      </c>
      <c r="J19" t="s">
        <v>14</v>
      </c>
      <c r="K19" t="s">
        <v>15</v>
      </c>
    </row>
    <row r="20" spans="1:11" x14ac:dyDescent="0.25">
      <c r="A20" t="s">
        <v>45</v>
      </c>
      <c r="B20" t="s">
        <v>11</v>
      </c>
      <c r="C20">
        <v>5</v>
      </c>
      <c r="D20">
        <v>4</v>
      </c>
      <c r="E20">
        <v>5</v>
      </c>
      <c r="F20">
        <f>Tabla2[[#This Row],[Score Best Ever]]/Tabla2[[#This Row],[Points Possible]]*100</f>
        <v>80</v>
      </c>
      <c r="G20">
        <v>2</v>
      </c>
      <c r="H20" t="s">
        <v>12</v>
      </c>
      <c r="I20" t="s">
        <v>13</v>
      </c>
      <c r="J20" t="s">
        <v>46</v>
      </c>
      <c r="K20" t="s">
        <v>15</v>
      </c>
    </row>
    <row r="21" spans="1:11" x14ac:dyDescent="0.25">
      <c r="A21" t="s">
        <v>45</v>
      </c>
      <c r="B21" t="s">
        <v>17</v>
      </c>
      <c r="C21">
        <v>5</v>
      </c>
      <c r="D21">
        <v>5</v>
      </c>
      <c r="E21">
        <v>5</v>
      </c>
      <c r="F21">
        <f>Tabla2[[#This Row],[Score Best Ever]]/Tabla2[[#This Row],[Points Possible]]*100</f>
        <v>100</v>
      </c>
      <c r="G21">
        <v>3</v>
      </c>
      <c r="H21" t="s">
        <v>12</v>
      </c>
      <c r="I21" t="s">
        <v>13</v>
      </c>
      <c r="J21" t="s">
        <v>46</v>
      </c>
      <c r="K21" t="s">
        <v>15</v>
      </c>
    </row>
    <row r="22" spans="1:11" x14ac:dyDescent="0.25">
      <c r="A22" t="s">
        <v>45</v>
      </c>
      <c r="B22" t="s">
        <v>19</v>
      </c>
      <c r="C22">
        <v>4</v>
      </c>
      <c r="D22">
        <v>5</v>
      </c>
      <c r="E22">
        <v>5</v>
      </c>
      <c r="F22">
        <f>Tabla2[[#This Row],[Score Best Ever]]/Tabla2[[#This Row],[Points Possible]]*100</f>
        <v>100</v>
      </c>
      <c r="G22">
        <v>1</v>
      </c>
      <c r="H22" t="s">
        <v>47</v>
      </c>
      <c r="I22" t="s">
        <v>13</v>
      </c>
      <c r="J22" t="s">
        <v>46</v>
      </c>
      <c r="K22" t="s">
        <v>15</v>
      </c>
    </row>
    <row r="23" spans="1:11" x14ac:dyDescent="0.25">
      <c r="A23" t="s">
        <v>45</v>
      </c>
      <c r="B23" t="s">
        <v>21</v>
      </c>
      <c r="C23">
        <v>4</v>
      </c>
      <c r="D23">
        <v>4</v>
      </c>
      <c r="E23">
        <v>5</v>
      </c>
      <c r="F23">
        <f>Tabla2[[#This Row],[Score Best Ever]]/Tabla2[[#This Row],[Points Possible]]*100</f>
        <v>80</v>
      </c>
      <c r="G23">
        <v>1</v>
      </c>
      <c r="H23" t="s">
        <v>47</v>
      </c>
      <c r="I23" t="s">
        <v>13</v>
      </c>
      <c r="J23" t="s">
        <v>46</v>
      </c>
      <c r="K23" t="s">
        <v>15</v>
      </c>
    </row>
    <row r="24" spans="1:11" x14ac:dyDescent="0.25">
      <c r="A24" t="s">
        <v>45</v>
      </c>
      <c r="B24" t="s">
        <v>23</v>
      </c>
      <c r="C24">
        <v>4</v>
      </c>
      <c r="D24">
        <v>4</v>
      </c>
      <c r="E24">
        <v>5</v>
      </c>
      <c r="F24">
        <f>Tabla2[[#This Row],[Score Best Ever]]/Tabla2[[#This Row],[Points Possible]]*100</f>
        <v>80</v>
      </c>
      <c r="G24">
        <v>2</v>
      </c>
      <c r="H24" t="s">
        <v>25</v>
      </c>
      <c r="I24" t="s">
        <v>13</v>
      </c>
      <c r="J24" t="s">
        <v>46</v>
      </c>
      <c r="K24" t="s">
        <v>15</v>
      </c>
    </row>
    <row r="25" spans="1:11" x14ac:dyDescent="0.25">
      <c r="A25" t="s">
        <v>45</v>
      </c>
      <c r="B25" t="s">
        <v>24</v>
      </c>
      <c r="C25">
        <v>5</v>
      </c>
      <c r="D25">
        <v>4</v>
      </c>
      <c r="E25">
        <v>5</v>
      </c>
      <c r="F25">
        <f>Tabla2[[#This Row],[Score Best Ever]]/Tabla2[[#This Row],[Points Possible]]*100</f>
        <v>80</v>
      </c>
      <c r="G25">
        <v>3</v>
      </c>
      <c r="H25" t="s">
        <v>12</v>
      </c>
      <c r="I25" t="s">
        <v>13</v>
      </c>
      <c r="J25" t="s">
        <v>46</v>
      </c>
      <c r="K25" t="s">
        <v>15</v>
      </c>
    </row>
    <row r="26" spans="1:11" x14ac:dyDescent="0.25">
      <c r="A26" t="s">
        <v>45</v>
      </c>
      <c r="B26" t="s">
        <v>27</v>
      </c>
      <c r="C26">
        <v>4</v>
      </c>
      <c r="D26">
        <v>3</v>
      </c>
      <c r="E26">
        <v>5</v>
      </c>
      <c r="F26">
        <f>Tabla2[[#This Row],[Score Best Ever]]/Tabla2[[#This Row],[Points Possible]]*100</f>
        <v>60</v>
      </c>
      <c r="G26">
        <v>1</v>
      </c>
      <c r="H26" t="s">
        <v>47</v>
      </c>
      <c r="I26" t="s">
        <v>13</v>
      </c>
      <c r="J26" t="s">
        <v>46</v>
      </c>
      <c r="K26" t="s">
        <v>15</v>
      </c>
    </row>
    <row r="27" spans="1:11" x14ac:dyDescent="0.25">
      <c r="A27" t="s">
        <v>45</v>
      </c>
      <c r="B27" t="s">
        <v>28</v>
      </c>
      <c r="C27">
        <v>5</v>
      </c>
      <c r="D27">
        <v>4</v>
      </c>
      <c r="E27">
        <v>5</v>
      </c>
      <c r="F27">
        <f>Tabla2[[#This Row],[Score Best Ever]]/Tabla2[[#This Row],[Points Possible]]*100</f>
        <v>80</v>
      </c>
      <c r="G27">
        <v>5</v>
      </c>
      <c r="H27" t="s">
        <v>39</v>
      </c>
      <c r="I27" t="s">
        <v>13</v>
      </c>
      <c r="J27" t="s">
        <v>46</v>
      </c>
      <c r="K27" t="s">
        <v>15</v>
      </c>
    </row>
    <row r="28" spans="1:11" x14ac:dyDescent="0.25">
      <c r="A28" t="s">
        <v>45</v>
      </c>
      <c r="B28" t="s">
        <v>30</v>
      </c>
      <c r="C28">
        <v>5</v>
      </c>
      <c r="D28">
        <v>3</v>
      </c>
      <c r="E28">
        <v>5</v>
      </c>
      <c r="F28">
        <f>Tabla2[[#This Row],[Score Best Ever]]/Tabla2[[#This Row],[Points Possible]]*100</f>
        <v>60</v>
      </c>
      <c r="G28">
        <v>3</v>
      </c>
      <c r="H28" t="s">
        <v>12</v>
      </c>
      <c r="I28" t="s">
        <v>13</v>
      </c>
      <c r="J28" t="s">
        <v>46</v>
      </c>
      <c r="K28" t="s">
        <v>15</v>
      </c>
    </row>
    <row r="29" spans="1:11" x14ac:dyDescent="0.25">
      <c r="A29" t="s">
        <v>45</v>
      </c>
      <c r="B29" t="s">
        <v>31</v>
      </c>
      <c r="C29">
        <v>5</v>
      </c>
      <c r="D29">
        <v>5</v>
      </c>
      <c r="E29">
        <v>5</v>
      </c>
      <c r="F29">
        <f>Tabla2[[#This Row],[Score Best Ever]]/Tabla2[[#This Row],[Points Possible]]*100</f>
        <v>100</v>
      </c>
      <c r="G29">
        <v>3</v>
      </c>
      <c r="H29" t="s">
        <v>12</v>
      </c>
      <c r="I29" t="s">
        <v>13</v>
      </c>
      <c r="J29" t="s">
        <v>46</v>
      </c>
      <c r="K29" t="s">
        <v>15</v>
      </c>
    </row>
    <row r="30" spans="1:11" x14ac:dyDescent="0.25">
      <c r="A30" t="s">
        <v>45</v>
      </c>
      <c r="B30" t="s">
        <v>32</v>
      </c>
      <c r="C30">
        <v>4</v>
      </c>
      <c r="D30">
        <v>4</v>
      </c>
      <c r="E30">
        <v>5</v>
      </c>
      <c r="F30">
        <f>Tabla2[[#This Row],[Score Best Ever]]/Tabla2[[#This Row],[Points Possible]]*100</f>
        <v>80</v>
      </c>
      <c r="G30">
        <v>1</v>
      </c>
      <c r="H30" t="s">
        <v>47</v>
      </c>
      <c r="I30" t="s">
        <v>13</v>
      </c>
      <c r="J30" t="s">
        <v>46</v>
      </c>
      <c r="K30" t="s">
        <v>15</v>
      </c>
    </row>
    <row r="31" spans="1:11" x14ac:dyDescent="0.25">
      <c r="A31" t="s">
        <v>45</v>
      </c>
      <c r="B31" t="s">
        <v>35</v>
      </c>
      <c r="C31">
        <v>4</v>
      </c>
      <c r="D31">
        <v>2</v>
      </c>
      <c r="E31">
        <v>5</v>
      </c>
      <c r="F31">
        <f>Tabla2[[#This Row],[Score Best Ever]]/Tabla2[[#This Row],[Points Possible]]*100</f>
        <v>40</v>
      </c>
      <c r="G31">
        <v>2</v>
      </c>
      <c r="H31" t="s">
        <v>25</v>
      </c>
      <c r="I31" t="s">
        <v>13</v>
      </c>
      <c r="J31" t="s">
        <v>46</v>
      </c>
      <c r="K31" t="s">
        <v>15</v>
      </c>
    </row>
    <row r="32" spans="1:11" x14ac:dyDescent="0.25">
      <c r="A32" t="s">
        <v>45</v>
      </c>
      <c r="B32" t="s">
        <v>36</v>
      </c>
      <c r="C32">
        <v>5</v>
      </c>
      <c r="D32">
        <v>4</v>
      </c>
      <c r="E32">
        <v>5</v>
      </c>
      <c r="F32">
        <f>Tabla2[[#This Row],[Score Best Ever]]/Tabla2[[#This Row],[Points Possible]]*100</f>
        <v>80</v>
      </c>
      <c r="G32">
        <v>2</v>
      </c>
      <c r="H32" t="s">
        <v>12</v>
      </c>
      <c r="I32" t="s">
        <v>13</v>
      </c>
      <c r="J32" t="s">
        <v>46</v>
      </c>
      <c r="K32" t="s">
        <v>15</v>
      </c>
    </row>
    <row r="33" spans="1:11" x14ac:dyDescent="0.25">
      <c r="A33" t="s">
        <v>45</v>
      </c>
      <c r="B33" t="s">
        <v>37</v>
      </c>
      <c r="C33">
        <v>5</v>
      </c>
      <c r="D33">
        <v>5</v>
      </c>
      <c r="E33">
        <v>5</v>
      </c>
      <c r="F33">
        <f>Tabla2[[#This Row],[Score Best Ever]]/Tabla2[[#This Row],[Points Possible]]*100</f>
        <v>100</v>
      </c>
      <c r="G33">
        <v>5</v>
      </c>
      <c r="H33" t="s">
        <v>48</v>
      </c>
      <c r="I33" t="s">
        <v>13</v>
      </c>
      <c r="J33" t="s">
        <v>46</v>
      </c>
      <c r="K33" t="s">
        <v>15</v>
      </c>
    </row>
    <row r="34" spans="1:11" x14ac:dyDescent="0.25">
      <c r="A34" t="s">
        <v>45</v>
      </c>
      <c r="B34" t="s">
        <v>38</v>
      </c>
      <c r="C34">
        <v>5</v>
      </c>
      <c r="D34">
        <v>5</v>
      </c>
      <c r="E34">
        <v>5</v>
      </c>
      <c r="F34">
        <f>Tabla2[[#This Row],[Score Best Ever]]/Tabla2[[#This Row],[Points Possible]]*100</f>
        <v>100</v>
      </c>
      <c r="G34">
        <v>3</v>
      </c>
      <c r="H34" t="s">
        <v>12</v>
      </c>
      <c r="I34" t="s">
        <v>13</v>
      </c>
      <c r="J34" t="s">
        <v>46</v>
      </c>
      <c r="K34" t="s">
        <v>15</v>
      </c>
    </row>
    <row r="35" spans="1:11" x14ac:dyDescent="0.25">
      <c r="A35" t="s">
        <v>45</v>
      </c>
      <c r="B35" t="s">
        <v>40</v>
      </c>
      <c r="C35">
        <v>4</v>
      </c>
      <c r="D35">
        <v>4</v>
      </c>
      <c r="E35">
        <v>5</v>
      </c>
      <c r="F35">
        <f>Tabla2[[#This Row],[Score Best Ever]]/Tabla2[[#This Row],[Points Possible]]*100</f>
        <v>80</v>
      </c>
      <c r="G35">
        <v>2</v>
      </c>
      <c r="H35" t="s">
        <v>25</v>
      </c>
      <c r="I35" t="s">
        <v>13</v>
      </c>
      <c r="J35" t="s">
        <v>46</v>
      </c>
      <c r="K35" t="s">
        <v>15</v>
      </c>
    </row>
    <row r="36" spans="1:11" x14ac:dyDescent="0.25">
      <c r="A36" t="s">
        <v>45</v>
      </c>
      <c r="B36" t="s">
        <v>41</v>
      </c>
      <c r="C36">
        <v>4</v>
      </c>
      <c r="D36">
        <v>4</v>
      </c>
      <c r="E36">
        <v>5</v>
      </c>
      <c r="F36">
        <f>Tabla2[[#This Row],[Score Best Ever]]/Tabla2[[#This Row],[Points Possible]]*100</f>
        <v>80</v>
      </c>
      <c r="G36">
        <v>1</v>
      </c>
      <c r="H36" t="s">
        <v>47</v>
      </c>
      <c r="I36" t="s">
        <v>13</v>
      </c>
      <c r="J36" t="s">
        <v>46</v>
      </c>
      <c r="K36" t="s">
        <v>15</v>
      </c>
    </row>
    <row r="37" spans="1:11" x14ac:dyDescent="0.25">
      <c r="A37" t="s">
        <v>45</v>
      </c>
      <c r="B37" t="s">
        <v>42</v>
      </c>
      <c r="C37">
        <v>5</v>
      </c>
      <c r="D37">
        <v>5</v>
      </c>
      <c r="E37">
        <v>5</v>
      </c>
      <c r="F37">
        <f>Tabla2[[#This Row],[Score Best Ever]]/Tabla2[[#This Row],[Points Possible]]*100</f>
        <v>100</v>
      </c>
      <c r="G37">
        <v>3</v>
      </c>
      <c r="H37" t="s">
        <v>12</v>
      </c>
      <c r="I37" t="s">
        <v>13</v>
      </c>
      <c r="J37" t="s">
        <v>46</v>
      </c>
      <c r="K37" t="s">
        <v>15</v>
      </c>
    </row>
    <row r="38" spans="1:11" x14ac:dyDescent="0.25">
      <c r="A38" t="s">
        <v>45</v>
      </c>
      <c r="B38" t="s">
        <v>43</v>
      </c>
      <c r="C38">
        <v>5</v>
      </c>
      <c r="D38">
        <v>5</v>
      </c>
      <c r="E38">
        <v>5</v>
      </c>
      <c r="F38">
        <f>Tabla2[[#This Row],[Score Best Ever]]/Tabla2[[#This Row],[Points Possible]]*100</f>
        <v>100</v>
      </c>
      <c r="G38">
        <v>6</v>
      </c>
      <c r="H38" t="s">
        <v>48</v>
      </c>
      <c r="I38" t="s">
        <v>13</v>
      </c>
      <c r="J38" t="s">
        <v>46</v>
      </c>
      <c r="K38" t="s">
        <v>15</v>
      </c>
    </row>
    <row r="39" spans="1:11" x14ac:dyDescent="0.25">
      <c r="A39" t="s">
        <v>49</v>
      </c>
      <c r="B39" t="s">
        <v>11</v>
      </c>
      <c r="C39">
        <v>4</v>
      </c>
      <c r="D39">
        <v>5</v>
      </c>
      <c r="E39">
        <v>5</v>
      </c>
      <c r="F39">
        <f>Tabla2[[#This Row],[Score Best Ever]]/Tabla2[[#This Row],[Points Possible]]*100</f>
        <v>100</v>
      </c>
      <c r="G39">
        <v>1</v>
      </c>
      <c r="H39" t="s">
        <v>50</v>
      </c>
      <c r="I39" t="s">
        <v>13</v>
      </c>
      <c r="J39" t="s">
        <v>51</v>
      </c>
      <c r="K39" t="s">
        <v>15</v>
      </c>
    </row>
    <row r="40" spans="1:11" x14ac:dyDescent="0.25">
      <c r="A40" t="s">
        <v>49</v>
      </c>
      <c r="B40" t="s">
        <v>17</v>
      </c>
      <c r="C40">
        <v>5</v>
      </c>
      <c r="D40">
        <v>5</v>
      </c>
      <c r="E40">
        <v>5</v>
      </c>
      <c r="F40">
        <f>Tabla2[[#This Row],[Score Best Ever]]/Tabla2[[#This Row],[Points Possible]]*100</f>
        <v>100</v>
      </c>
      <c r="G40">
        <v>2</v>
      </c>
      <c r="H40" t="s">
        <v>44</v>
      </c>
      <c r="I40" t="s">
        <v>13</v>
      </c>
      <c r="J40" t="s">
        <v>51</v>
      </c>
      <c r="K40" t="s">
        <v>15</v>
      </c>
    </row>
    <row r="41" spans="1:11" x14ac:dyDescent="0.25">
      <c r="A41" t="s">
        <v>49</v>
      </c>
      <c r="B41" t="s">
        <v>19</v>
      </c>
      <c r="C41">
        <v>4</v>
      </c>
      <c r="D41">
        <v>5</v>
      </c>
      <c r="E41">
        <v>5</v>
      </c>
      <c r="F41">
        <f>Tabla2[[#This Row],[Score Best Ever]]/Tabla2[[#This Row],[Points Possible]]*100</f>
        <v>100</v>
      </c>
      <c r="G41">
        <v>2</v>
      </c>
      <c r="H41" t="s">
        <v>52</v>
      </c>
      <c r="I41" t="s">
        <v>13</v>
      </c>
      <c r="J41" t="s">
        <v>51</v>
      </c>
      <c r="K41" t="s">
        <v>15</v>
      </c>
    </row>
    <row r="42" spans="1:11" x14ac:dyDescent="0.25">
      <c r="A42" t="s">
        <v>49</v>
      </c>
      <c r="B42" t="s">
        <v>21</v>
      </c>
      <c r="C42">
        <v>4</v>
      </c>
      <c r="D42">
        <v>5</v>
      </c>
      <c r="E42">
        <v>5</v>
      </c>
      <c r="F42">
        <f>Tabla2[[#This Row],[Score Best Ever]]/Tabla2[[#This Row],[Points Possible]]*100</f>
        <v>100</v>
      </c>
      <c r="G42">
        <v>1</v>
      </c>
      <c r="H42" t="s">
        <v>20</v>
      </c>
      <c r="I42" t="s">
        <v>13</v>
      </c>
      <c r="J42" t="s">
        <v>51</v>
      </c>
      <c r="K42" t="s">
        <v>15</v>
      </c>
    </row>
    <row r="43" spans="1:11" x14ac:dyDescent="0.25">
      <c r="A43" t="s">
        <v>49</v>
      </c>
      <c r="B43" t="s">
        <v>23</v>
      </c>
      <c r="C43">
        <v>3</v>
      </c>
      <c r="D43">
        <v>4</v>
      </c>
      <c r="E43">
        <v>5</v>
      </c>
      <c r="F43">
        <f>Tabla2[[#This Row],[Score Best Ever]]/Tabla2[[#This Row],[Points Possible]]*100</f>
        <v>80</v>
      </c>
      <c r="G43">
        <v>1</v>
      </c>
      <c r="H43" t="s">
        <v>18</v>
      </c>
      <c r="I43" t="s">
        <v>13</v>
      </c>
      <c r="J43" t="s">
        <v>51</v>
      </c>
      <c r="K43" t="s">
        <v>15</v>
      </c>
    </row>
    <row r="44" spans="1:11" x14ac:dyDescent="0.25">
      <c r="A44" t="s">
        <v>49</v>
      </c>
      <c r="B44" t="s">
        <v>24</v>
      </c>
      <c r="C44">
        <v>4</v>
      </c>
      <c r="D44">
        <v>3</v>
      </c>
      <c r="E44">
        <v>5</v>
      </c>
      <c r="F44">
        <f>Tabla2[[#This Row],[Score Best Ever]]/Tabla2[[#This Row],[Points Possible]]*100</f>
        <v>60</v>
      </c>
      <c r="G44">
        <v>1</v>
      </c>
      <c r="H44" t="s">
        <v>20</v>
      </c>
      <c r="I44" t="s">
        <v>13</v>
      </c>
      <c r="J44" t="s">
        <v>51</v>
      </c>
      <c r="K44" t="s">
        <v>15</v>
      </c>
    </row>
    <row r="45" spans="1:11" x14ac:dyDescent="0.25">
      <c r="A45" t="s">
        <v>49</v>
      </c>
      <c r="B45" t="s">
        <v>27</v>
      </c>
      <c r="C45">
        <v>5</v>
      </c>
      <c r="D45">
        <v>3</v>
      </c>
      <c r="E45">
        <v>5</v>
      </c>
      <c r="F45">
        <f>Tabla2[[#This Row],[Score Best Ever]]/Tabla2[[#This Row],[Points Possible]]*100</f>
        <v>60</v>
      </c>
      <c r="G45">
        <v>1</v>
      </c>
      <c r="H45" t="s">
        <v>12</v>
      </c>
      <c r="I45" t="s">
        <v>13</v>
      </c>
      <c r="J45" t="s">
        <v>51</v>
      </c>
      <c r="K45" t="s">
        <v>15</v>
      </c>
    </row>
    <row r="46" spans="1:11" x14ac:dyDescent="0.25">
      <c r="A46" t="s">
        <v>49</v>
      </c>
      <c r="B46" t="s">
        <v>28</v>
      </c>
      <c r="C46">
        <v>5</v>
      </c>
      <c r="D46">
        <v>5</v>
      </c>
      <c r="E46">
        <v>5</v>
      </c>
      <c r="F46">
        <f>Tabla2[[#This Row],[Score Best Ever]]/Tabla2[[#This Row],[Points Possible]]*100</f>
        <v>100</v>
      </c>
      <c r="G46">
        <v>3</v>
      </c>
      <c r="H46" t="s">
        <v>53</v>
      </c>
      <c r="I46" t="s">
        <v>13</v>
      </c>
      <c r="J46" t="s">
        <v>51</v>
      </c>
      <c r="K46" t="s">
        <v>15</v>
      </c>
    </row>
    <row r="47" spans="1:11" x14ac:dyDescent="0.25">
      <c r="A47" t="s">
        <v>49</v>
      </c>
      <c r="B47" t="s">
        <v>30</v>
      </c>
      <c r="C47">
        <v>4</v>
      </c>
      <c r="D47">
        <v>4</v>
      </c>
      <c r="E47">
        <v>5</v>
      </c>
      <c r="F47">
        <f>Tabla2[[#This Row],[Score Best Ever]]/Tabla2[[#This Row],[Points Possible]]*100</f>
        <v>80</v>
      </c>
      <c r="G47">
        <v>2</v>
      </c>
      <c r="H47" t="s">
        <v>22</v>
      </c>
      <c r="I47" t="s">
        <v>13</v>
      </c>
      <c r="J47" t="s">
        <v>51</v>
      </c>
      <c r="K47" t="s">
        <v>15</v>
      </c>
    </row>
    <row r="48" spans="1:11" x14ac:dyDescent="0.25">
      <c r="A48" t="s">
        <v>49</v>
      </c>
      <c r="B48" t="s">
        <v>31</v>
      </c>
      <c r="C48">
        <v>3</v>
      </c>
      <c r="D48">
        <v>5</v>
      </c>
      <c r="E48">
        <v>5</v>
      </c>
      <c r="F48">
        <f>Tabla2[[#This Row],[Score Best Ever]]/Tabla2[[#This Row],[Points Possible]]*100</f>
        <v>100</v>
      </c>
      <c r="G48">
        <v>1</v>
      </c>
      <c r="H48" t="s">
        <v>18</v>
      </c>
      <c r="I48" t="s">
        <v>13</v>
      </c>
      <c r="J48" t="s">
        <v>51</v>
      </c>
      <c r="K48" t="s">
        <v>15</v>
      </c>
    </row>
    <row r="49" spans="1:11" x14ac:dyDescent="0.25">
      <c r="A49" t="s">
        <v>49</v>
      </c>
      <c r="B49" t="s">
        <v>35</v>
      </c>
      <c r="C49">
        <v>5</v>
      </c>
      <c r="D49">
        <v>4</v>
      </c>
      <c r="E49">
        <v>5</v>
      </c>
      <c r="F49">
        <f>Tabla2[[#This Row],[Score Best Ever]]/Tabla2[[#This Row],[Points Possible]]*100</f>
        <v>80</v>
      </c>
      <c r="G49">
        <v>9</v>
      </c>
      <c r="H49" t="s">
        <v>54</v>
      </c>
      <c r="I49" t="s">
        <v>13</v>
      </c>
      <c r="J49" t="s">
        <v>51</v>
      </c>
      <c r="K49" t="s">
        <v>15</v>
      </c>
    </row>
    <row r="50" spans="1:11" x14ac:dyDescent="0.25">
      <c r="A50" t="s">
        <v>49</v>
      </c>
      <c r="B50" t="s">
        <v>36</v>
      </c>
      <c r="C50">
        <v>4</v>
      </c>
      <c r="D50">
        <v>5</v>
      </c>
      <c r="E50">
        <v>5</v>
      </c>
      <c r="F50">
        <f>Tabla2[[#This Row],[Score Best Ever]]/Tabla2[[#This Row],[Points Possible]]*100</f>
        <v>100</v>
      </c>
      <c r="G50">
        <v>2</v>
      </c>
      <c r="H50" t="s">
        <v>18</v>
      </c>
      <c r="I50" t="s">
        <v>13</v>
      </c>
      <c r="J50" t="s">
        <v>51</v>
      </c>
      <c r="K50" t="s">
        <v>15</v>
      </c>
    </row>
    <row r="51" spans="1:11" x14ac:dyDescent="0.25">
      <c r="A51" t="s">
        <v>49</v>
      </c>
      <c r="B51" t="s">
        <v>37</v>
      </c>
      <c r="C51">
        <v>5</v>
      </c>
      <c r="D51">
        <v>5</v>
      </c>
      <c r="E51">
        <v>5</v>
      </c>
      <c r="F51">
        <f>Tabla2[[#This Row],[Score Best Ever]]/Tabla2[[#This Row],[Points Possible]]*100</f>
        <v>100</v>
      </c>
      <c r="G51">
        <v>6</v>
      </c>
      <c r="H51" t="s">
        <v>29</v>
      </c>
      <c r="I51" t="s">
        <v>13</v>
      </c>
      <c r="J51" t="s">
        <v>51</v>
      </c>
      <c r="K51" t="s">
        <v>15</v>
      </c>
    </row>
    <row r="52" spans="1:11" x14ac:dyDescent="0.25">
      <c r="A52" t="s">
        <v>49</v>
      </c>
      <c r="B52" t="s">
        <v>38</v>
      </c>
      <c r="C52">
        <v>3</v>
      </c>
      <c r="D52">
        <v>5</v>
      </c>
      <c r="E52">
        <v>5</v>
      </c>
      <c r="F52">
        <f>Tabla2[[#This Row],[Score Best Ever]]/Tabla2[[#This Row],[Points Possible]]*100</f>
        <v>100</v>
      </c>
      <c r="G52">
        <v>2</v>
      </c>
      <c r="H52" t="s">
        <v>39</v>
      </c>
      <c r="I52" t="s">
        <v>13</v>
      </c>
      <c r="J52" t="s">
        <v>51</v>
      </c>
      <c r="K52" t="s">
        <v>15</v>
      </c>
    </row>
    <row r="53" spans="1:11" x14ac:dyDescent="0.25">
      <c r="A53" t="s">
        <v>49</v>
      </c>
      <c r="B53" t="s">
        <v>40</v>
      </c>
      <c r="D53">
        <v>5</v>
      </c>
      <c r="E53">
        <v>5</v>
      </c>
      <c r="F53">
        <f>Tabla2[[#This Row],[Score Best Ever]]/Tabla2[[#This Row],[Points Possible]]*100</f>
        <v>100</v>
      </c>
      <c r="G53">
        <v>0</v>
      </c>
      <c r="H53" t="s">
        <v>55</v>
      </c>
      <c r="I53" t="s">
        <v>13</v>
      </c>
      <c r="J53" t="s">
        <v>51</v>
      </c>
      <c r="K53" t="s">
        <v>15</v>
      </c>
    </row>
    <row r="54" spans="1:11" x14ac:dyDescent="0.25">
      <c r="A54" t="s">
        <v>49</v>
      </c>
      <c r="B54" t="s">
        <v>41</v>
      </c>
      <c r="C54">
        <v>5</v>
      </c>
      <c r="D54">
        <v>4</v>
      </c>
      <c r="E54">
        <v>5</v>
      </c>
      <c r="F54">
        <f>Tabla2[[#This Row],[Score Best Ever]]/Tabla2[[#This Row],[Points Possible]]*100</f>
        <v>80</v>
      </c>
      <c r="G54">
        <v>1</v>
      </c>
      <c r="H54" t="s">
        <v>12</v>
      </c>
      <c r="I54" t="s">
        <v>13</v>
      </c>
      <c r="J54" t="s">
        <v>51</v>
      </c>
      <c r="K54" t="s">
        <v>15</v>
      </c>
    </row>
    <row r="55" spans="1:11" x14ac:dyDescent="0.25">
      <c r="A55" t="s">
        <v>49</v>
      </c>
      <c r="B55" t="s">
        <v>42</v>
      </c>
      <c r="C55">
        <v>4</v>
      </c>
      <c r="D55">
        <v>5</v>
      </c>
      <c r="E55">
        <v>5</v>
      </c>
      <c r="F55">
        <f>Tabla2[[#This Row],[Score Best Ever]]/Tabla2[[#This Row],[Points Possible]]*100</f>
        <v>100</v>
      </c>
      <c r="G55">
        <v>1</v>
      </c>
      <c r="H55" t="s">
        <v>20</v>
      </c>
      <c r="I55" t="s">
        <v>13</v>
      </c>
      <c r="J55" t="s">
        <v>51</v>
      </c>
      <c r="K55" t="s">
        <v>15</v>
      </c>
    </row>
    <row r="56" spans="1:11" x14ac:dyDescent="0.25">
      <c r="A56" t="s">
        <v>49</v>
      </c>
      <c r="B56" t="s">
        <v>43</v>
      </c>
      <c r="C56">
        <v>5</v>
      </c>
      <c r="D56">
        <v>5</v>
      </c>
      <c r="E56">
        <v>5</v>
      </c>
      <c r="F56">
        <f>Tabla2[[#This Row],[Score Best Ever]]/Tabla2[[#This Row],[Points Possible]]*100</f>
        <v>100</v>
      </c>
      <c r="G56">
        <v>2</v>
      </c>
      <c r="H56" t="s">
        <v>53</v>
      </c>
      <c r="I56" t="s">
        <v>13</v>
      </c>
      <c r="J56" t="s">
        <v>51</v>
      </c>
      <c r="K56" t="s">
        <v>15</v>
      </c>
    </row>
    <row r="57" spans="1:11" x14ac:dyDescent="0.25">
      <c r="A57" t="s">
        <v>56</v>
      </c>
      <c r="B57" t="s">
        <v>11</v>
      </c>
      <c r="C57">
        <v>5</v>
      </c>
      <c r="D57">
        <v>15</v>
      </c>
      <c r="E57">
        <v>17</v>
      </c>
      <c r="F57">
        <f>Tabla2[[#This Row],[Score Best Ever]]/Tabla2[[#This Row],[Points Possible]]*100</f>
        <v>88.235294117647058</v>
      </c>
      <c r="G57">
        <v>2</v>
      </c>
      <c r="H57" t="s">
        <v>53</v>
      </c>
      <c r="I57" t="s">
        <v>13</v>
      </c>
      <c r="J57" t="s">
        <v>57</v>
      </c>
      <c r="K57" t="s">
        <v>58</v>
      </c>
    </row>
    <row r="58" spans="1:11" x14ac:dyDescent="0.25">
      <c r="A58" t="s">
        <v>56</v>
      </c>
      <c r="B58" t="s">
        <v>17</v>
      </c>
      <c r="C58">
        <v>5</v>
      </c>
      <c r="D58">
        <v>14</v>
      </c>
      <c r="E58">
        <v>17</v>
      </c>
      <c r="F58">
        <f>Tabla2[[#This Row],[Score Best Ever]]/Tabla2[[#This Row],[Points Possible]]*100</f>
        <v>82.35294117647058</v>
      </c>
      <c r="G58">
        <v>7</v>
      </c>
      <c r="H58" t="s">
        <v>59</v>
      </c>
      <c r="I58" t="s">
        <v>13</v>
      </c>
      <c r="J58" t="s">
        <v>57</v>
      </c>
      <c r="K58" t="s">
        <v>58</v>
      </c>
    </row>
    <row r="59" spans="1:11" x14ac:dyDescent="0.25">
      <c r="A59" t="s">
        <v>56</v>
      </c>
      <c r="B59" t="s">
        <v>19</v>
      </c>
      <c r="C59">
        <v>5</v>
      </c>
      <c r="D59">
        <v>16</v>
      </c>
      <c r="E59">
        <v>17</v>
      </c>
      <c r="F59">
        <f>Tabla2[[#This Row],[Score Best Ever]]/Tabla2[[#This Row],[Points Possible]]*100</f>
        <v>94.117647058823522</v>
      </c>
      <c r="G59">
        <v>3</v>
      </c>
      <c r="H59" t="s">
        <v>29</v>
      </c>
      <c r="I59" t="s">
        <v>13</v>
      </c>
      <c r="J59" t="s">
        <v>57</v>
      </c>
      <c r="K59" t="s">
        <v>58</v>
      </c>
    </row>
    <row r="60" spans="1:11" x14ac:dyDescent="0.25">
      <c r="A60" t="s">
        <v>56</v>
      </c>
      <c r="B60" t="s">
        <v>21</v>
      </c>
      <c r="C60">
        <v>5</v>
      </c>
      <c r="D60">
        <v>15</v>
      </c>
      <c r="E60">
        <v>17</v>
      </c>
      <c r="F60">
        <f>Tabla2[[#This Row],[Score Best Ever]]/Tabla2[[#This Row],[Points Possible]]*100</f>
        <v>88.235294117647058</v>
      </c>
      <c r="G60">
        <v>1</v>
      </c>
      <c r="H60" t="s">
        <v>12</v>
      </c>
      <c r="I60" t="s">
        <v>13</v>
      </c>
      <c r="J60" t="s">
        <v>57</v>
      </c>
      <c r="K60" t="s">
        <v>58</v>
      </c>
    </row>
    <row r="61" spans="1:11" x14ac:dyDescent="0.25">
      <c r="A61" t="s">
        <v>56</v>
      </c>
      <c r="B61" t="s">
        <v>23</v>
      </c>
      <c r="C61">
        <v>5</v>
      </c>
      <c r="D61">
        <v>14</v>
      </c>
      <c r="E61">
        <v>17</v>
      </c>
      <c r="F61">
        <f>Tabla2[[#This Row],[Score Best Ever]]/Tabla2[[#This Row],[Points Possible]]*100</f>
        <v>82.35294117647058</v>
      </c>
      <c r="G61">
        <v>2</v>
      </c>
      <c r="H61" t="s">
        <v>44</v>
      </c>
      <c r="I61" t="s">
        <v>13</v>
      </c>
      <c r="J61" t="s">
        <v>57</v>
      </c>
      <c r="K61" t="s">
        <v>58</v>
      </c>
    </row>
    <row r="62" spans="1:11" x14ac:dyDescent="0.25">
      <c r="A62" t="s">
        <v>56</v>
      </c>
      <c r="B62" t="s">
        <v>24</v>
      </c>
      <c r="C62">
        <v>3</v>
      </c>
      <c r="D62">
        <v>11</v>
      </c>
      <c r="E62">
        <v>17</v>
      </c>
      <c r="F62">
        <f>Tabla2[[#This Row],[Score Best Ever]]/Tabla2[[#This Row],[Points Possible]]*100</f>
        <v>64.705882352941174</v>
      </c>
      <c r="G62">
        <v>1</v>
      </c>
      <c r="H62" t="s">
        <v>18</v>
      </c>
      <c r="I62" t="s">
        <v>13</v>
      </c>
      <c r="J62" t="s">
        <v>57</v>
      </c>
      <c r="K62" t="s">
        <v>58</v>
      </c>
    </row>
    <row r="63" spans="1:11" x14ac:dyDescent="0.25">
      <c r="A63" t="s">
        <v>56</v>
      </c>
      <c r="B63" t="s">
        <v>27</v>
      </c>
      <c r="D63">
        <v>8</v>
      </c>
      <c r="E63">
        <v>17</v>
      </c>
      <c r="F63">
        <f>Tabla2[[#This Row],[Score Best Ever]]/Tabla2[[#This Row],[Points Possible]]*100</f>
        <v>47.058823529411761</v>
      </c>
      <c r="G63">
        <v>0</v>
      </c>
      <c r="H63" t="s">
        <v>60</v>
      </c>
      <c r="I63" t="s">
        <v>13</v>
      </c>
      <c r="J63" t="s">
        <v>57</v>
      </c>
      <c r="K63" t="s">
        <v>58</v>
      </c>
    </row>
    <row r="64" spans="1:11" x14ac:dyDescent="0.25">
      <c r="A64" t="s">
        <v>56</v>
      </c>
      <c r="B64" t="s">
        <v>28</v>
      </c>
      <c r="C64">
        <v>4</v>
      </c>
      <c r="D64">
        <v>15</v>
      </c>
      <c r="E64">
        <v>17</v>
      </c>
      <c r="F64">
        <f>Tabla2[[#This Row],[Score Best Ever]]/Tabla2[[#This Row],[Points Possible]]*100</f>
        <v>88.235294117647058</v>
      </c>
      <c r="G64">
        <v>2</v>
      </c>
      <c r="H64" t="s">
        <v>52</v>
      </c>
      <c r="I64" t="s">
        <v>13</v>
      </c>
      <c r="J64" t="s">
        <v>57</v>
      </c>
      <c r="K64" t="s">
        <v>58</v>
      </c>
    </row>
    <row r="65" spans="1:11" x14ac:dyDescent="0.25">
      <c r="A65" t="s">
        <v>56</v>
      </c>
      <c r="B65" t="s">
        <v>30</v>
      </c>
      <c r="C65">
        <v>5</v>
      </c>
      <c r="D65">
        <v>13</v>
      </c>
      <c r="E65">
        <v>17</v>
      </c>
      <c r="F65">
        <f>Tabla2[[#This Row],[Score Best Ever]]/Tabla2[[#This Row],[Points Possible]]*100</f>
        <v>76.470588235294116</v>
      </c>
      <c r="G65">
        <v>3</v>
      </c>
      <c r="H65" t="s">
        <v>52</v>
      </c>
      <c r="I65" t="s">
        <v>13</v>
      </c>
      <c r="J65" t="s">
        <v>57</v>
      </c>
      <c r="K65" t="s">
        <v>58</v>
      </c>
    </row>
    <row r="66" spans="1:11" x14ac:dyDescent="0.25">
      <c r="A66" t="s">
        <v>56</v>
      </c>
      <c r="B66" t="s">
        <v>31</v>
      </c>
      <c r="D66">
        <v>17</v>
      </c>
      <c r="E66">
        <v>17</v>
      </c>
      <c r="F66">
        <f>Tabla2[[#This Row],[Score Best Ever]]/Tabla2[[#This Row],[Points Possible]]*100</f>
        <v>100</v>
      </c>
      <c r="G66">
        <v>0</v>
      </c>
      <c r="H66" t="s">
        <v>61</v>
      </c>
      <c r="I66" t="s">
        <v>13</v>
      </c>
      <c r="J66" t="s">
        <v>57</v>
      </c>
      <c r="K66" t="s">
        <v>58</v>
      </c>
    </row>
    <row r="67" spans="1:11" x14ac:dyDescent="0.25">
      <c r="A67" t="s">
        <v>56</v>
      </c>
      <c r="B67" t="s">
        <v>35</v>
      </c>
      <c r="C67">
        <v>1</v>
      </c>
      <c r="D67">
        <v>14</v>
      </c>
      <c r="E67">
        <v>17</v>
      </c>
      <c r="F67">
        <f>Tabla2[[#This Row],[Score Best Ever]]/Tabla2[[#This Row],[Points Possible]]*100</f>
        <v>82.35294117647058</v>
      </c>
      <c r="G67">
        <v>1</v>
      </c>
      <c r="H67" t="s">
        <v>39</v>
      </c>
      <c r="I67" t="s">
        <v>13</v>
      </c>
      <c r="J67" t="s">
        <v>57</v>
      </c>
      <c r="K67" t="s">
        <v>58</v>
      </c>
    </row>
    <row r="68" spans="1:11" x14ac:dyDescent="0.25">
      <c r="A68" t="s">
        <v>56</v>
      </c>
      <c r="B68" t="s">
        <v>37</v>
      </c>
      <c r="C68">
        <v>4</v>
      </c>
      <c r="D68">
        <v>16</v>
      </c>
      <c r="E68">
        <v>17</v>
      </c>
      <c r="F68">
        <f>Tabla2[[#This Row],[Score Best Ever]]/Tabla2[[#This Row],[Points Possible]]*100</f>
        <v>94.117647058823522</v>
      </c>
      <c r="G68">
        <v>7</v>
      </c>
      <c r="H68" t="s">
        <v>62</v>
      </c>
      <c r="I68" t="s">
        <v>13</v>
      </c>
      <c r="J68" t="s">
        <v>57</v>
      </c>
      <c r="K68" t="s">
        <v>58</v>
      </c>
    </row>
    <row r="69" spans="1:11" x14ac:dyDescent="0.25">
      <c r="A69" t="s">
        <v>56</v>
      </c>
      <c r="B69" t="s">
        <v>38</v>
      </c>
      <c r="C69">
        <v>5</v>
      </c>
      <c r="D69">
        <v>17</v>
      </c>
      <c r="E69">
        <v>17</v>
      </c>
      <c r="F69">
        <f>Tabla2[[#This Row],[Score Best Ever]]/Tabla2[[#This Row],[Points Possible]]*100</f>
        <v>100</v>
      </c>
      <c r="G69">
        <v>5</v>
      </c>
      <c r="H69" t="s">
        <v>29</v>
      </c>
      <c r="I69" t="s">
        <v>13</v>
      </c>
      <c r="J69" t="s">
        <v>57</v>
      </c>
      <c r="K69" t="s">
        <v>58</v>
      </c>
    </row>
    <row r="70" spans="1:11" x14ac:dyDescent="0.25">
      <c r="A70" t="s">
        <v>56</v>
      </c>
      <c r="B70" t="s">
        <v>40</v>
      </c>
      <c r="C70">
        <v>4</v>
      </c>
      <c r="D70">
        <v>15</v>
      </c>
      <c r="E70">
        <v>17</v>
      </c>
      <c r="F70">
        <f>Tabla2[[#This Row],[Score Best Ever]]/Tabla2[[#This Row],[Points Possible]]*100</f>
        <v>88.235294117647058</v>
      </c>
      <c r="G70">
        <v>1</v>
      </c>
      <c r="H70" t="s">
        <v>20</v>
      </c>
      <c r="I70" t="s">
        <v>13</v>
      </c>
      <c r="J70" t="s">
        <v>57</v>
      </c>
      <c r="K70" t="s">
        <v>58</v>
      </c>
    </row>
    <row r="71" spans="1:11" x14ac:dyDescent="0.25">
      <c r="A71" t="s">
        <v>56</v>
      </c>
      <c r="B71" t="s">
        <v>41</v>
      </c>
      <c r="D71">
        <v>14</v>
      </c>
      <c r="E71">
        <v>17</v>
      </c>
      <c r="F71">
        <f>Tabla2[[#This Row],[Score Best Ever]]/Tabla2[[#This Row],[Points Possible]]*100</f>
        <v>82.35294117647058</v>
      </c>
      <c r="G71">
        <v>0</v>
      </c>
      <c r="H71" t="s">
        <v>63</v>
      </c>
      <c r="I71" t="s">
        <v>13</v>
      </c>
      <c r="J71" t="s">
        <v>57</v>
      </c>
      <c r="K71" t="s">
        <v>58</v>
      </c>
    </row>
    <row r="72" spans="1:11" x14ac:dyDescent="0.25">
      <c r="A72" t="s">
        <v>56</v>
      </c>
      <c r="B72" t="s">
        <v>42</v>
      </c>
      <c r="C72">
        <v>5</v>
      </c>
      <c r="D72">
        <v>17</v>
      </c>
      <c r="E72">
        <v>17</v>
      </c>
      <c r="F72">
        <f>Tabla2[[#This Row],[Score Best Ever]]/Tabla2[[#This Row],[Points Possible]]*100</f>
        <v>100</v>
      </c>
      <c r="G72">
        <v>3</v>
      </c>
      <c r="H72" t="s">
        <v>48</v>
      </c>
      <c r="I72" t="s">
        <v>13</v>
      </c>
      <c r="J72" t="s">
        <v>57</v>
      </c>
      <c r="K72" t="s">
        <v>58</v>
      </c>
    </row>
    <row r="73" spans="1:11" x14ac:dyDescent="0.25">
      <c r="A73" t="s">
        <v>56</v>
      </c>
      <c r="B73" t="s">
        <v>43</v>
      </c>
      <c r="C73">
        <v>5</v>
      </c>
      <c r="D73">
        <v>15</v>
      </c>
      <c r="E73">
        <v>17</v>
      </c>
      <c r="F73">
        <f>Tabla2[[#This Row],[Score Best Ever]]/Tabla2[[#This Row],[Points Possible]]*100</f>
        <v>88.235294117647058</v>
      </c>
      <c r="G73">
        <v>1</v>
      </c>
      <c r="H73" t="s">
        <v>44</v>
      </c>
      <c r="I73" t="s">
        <v>13</v>
      </c>
      <c r="J73" t="s">
        <v>57</v>
      </c>
      <c r="K73" t="s">
        <v>58</v>
      </c>
    </row>
    <row r="74" spans="1:11" x14ac:dyDescent="0.25">
      <c r="A74" t="s">
        <v>64</v>
      </c>
      <c r="B74" t="s">
        <v>11</v>
      </c>
      <c r="C74">
        <v>5</v>
      </c>
      <c r="D74">
        <v>4</v>
      </c>
      <c r="E74">
        <v>5</v>
      </c>
      <c r="F74">
        <f>Tabla2[[#This Row],[Score Best Ever]]/Tabla2[[#This Row],[Points Possible]]*100</f>
        <v>80</v>
      </c>
      <c r="G74">
        <v>3</v>
      </c>
      <c r="H74" t="s">
        <v>52</v>
      </c>
      <c r="I74" t="s">
        <v>13</v>
      </c>
      <c r="J74" t="s">
        <v>65</v>
      </c>
      <c r="K74" t="s">
        <v>15</v>
      </c>
    </row>
    <row r="75" spans="1:11" x14ac:dyDescent="0.25">
      <c r="A75" t="s">
        <v>64</v>
      </c>
      <c r="B75" t="s">
        <v>17</v>
      </c>
      <c r="D75">
        <v>5</v>
      </c>
      <c r="E75">
        <v>5</v>
      </c>
      <c r="F75">
        <f>Tabla2[[#This Row],[Score Best Ever]]/Tabla2[[#This Row],[Points Possible]]*100</f>
        <v>100</v>
      </c>
      <c r="G75">
        <v>0</v>
      </c>
      <c r="H75" t="s">
        <v>66</v>
      </c>
      <c r="I75" t="s">
        <v>13</v>
      </c>
      <c r="J75" t="s">
        <v>65</v>
      </c>
      <c r="K75" t="s">
        <v>15</v>
      </c>
    </row>
    <row r="76" spans="1:11" x14ac:dyDescent="0.25">
      <c r="A76" t="s">
        <v>64</v>
      </c>
      <c r="B76" t="s">
        <v>19</v>
      </c>
      <c r="C76">
        <v>5</v>
      </c>
      <c r="D76">
        <v>5</v>
      </c>
      <c r="E76">
        <v>5</v>
      </c>
      <c r="F76">
        <f>Tabla2[[#This Row],[Score Best Ever]]/Tabla2[[#This Row],[Points Possible]]*100</f>
        <v>100</v>
      </c>
      <c r="G76">
        <v>3</v>
      </c>
      <c r="H76" t="s">
        <v>39</v>
      </c>
      <c r="I76" t="s">
        <v>13</v>
      </c>
      <c r="J76" t="s">
        <v>65</v>
      </c>
      <c r="K76" t="s">
        <v>15</v>
      </c>
    </row>
    <row r="77" spans="1:11" x14ac:dyDescent="0.25">
      <c r="A77" t="s">
        <v>64</v>
      </c>
      <c r="B77" t="s">
        <v>21</v>
      </c>
      <c r="C77">
        <v>4</v>
      </c>
      <c r="D77">
        <v>5</v>
      </c>
      <c r="E77">
        <v>5</v>
      </c>
      <c r="F77">
        <f>Tabla2[[#This Row],[Score Best Ever]]/Tabla2[[#This Row],[Points Possible]]*100</f>
        <v>100</v>
      </c>
      <c r="G77">
        <v>1</v>
      </c>
      <c r="H77" t="s">
        <v>25</v>
      </c>
      <c r="I77" t="s">
        <v>13</v>
      </c>
      <c r="J77" t="s">
        <v>65</v>
      </c>
      <c r="K77" t="s">
        <v>15</v>
      </c>
    </row>
    <row r="78" spans="1:11" x14ac:dyDescent="0.25">
      <c r="A78" t="s">
        <v>64</v>
      </c>
      <c r="B78" t="s">
        <v>23</v>
      </c>
      <c r="C78">
        <v>4</v>
      </c>
      <c r="D78">
        <v>5</v>
      </c>
      <c r="E78">
        <v>5</v>
      </c>
      <c r="F78">
        <f>Tabla2[[#This Row],[Score Best Ever]]/Tabla2[[#This Row],[Points Possible]]*100</f>
        <v>100</v>
      </c>
      <c r="G78">
        <v>2</v>
      </c>
      <c r="H78" t="s">
        <v>50</v>
      </c>
      <c r="I78" t="s">
        <v>13</v>
      </c>
      <c r="J78" t="s">
        <v>65</v>
      </c>
      <c r="K78" t="s">
        <v>15</v>
      </c>
    </row>
    <row r="79" spans="1:11" x14ac:dyDescent="0.25">
      <c r="A79" t="s">
        <v>64</v>
      </c>
      <c r="B79" t="s">
        <v>24</v>
      </c>
      <c r="C79">
        <v>4</v>
      </c>
      <c r="D79">
        <v>4</v>
      </c>
      <c r="E79">
        <v>5</v>
      </c>
      <c r="F79">
        <f>Tabla2[[#This Row],[Score Best Ever]]/Tabla2[[#This Row],[Points Possible]]*100</f>
        <v>80</v>
      </c>
      <c r="G79">
        <v>1</v>
      </c>
      <c r="H79" t="s">
        <v>22</v>
      </c>
      <c r="I79" t="s">
        <v>13</v>
      </c>
      <c r="J79" t="s">
        <v>65</v>
      </c>
      <c r="K79" t="s">
        <v>15</v>
      </c>
    </row>
    <row r="80" spans="1:11" x14ac:dyDescent="0.25">
      <c r="A80" t="s">
        <v>64</v>
      </c>
      <c r="B80" t="s">
        <v>27</v>
      </c>
      <c r="C80">
        <v>4</v>
      </c>
      <c r="D80">
        <v>4</v>
      </c>
      <c r="E80">
        <v>5</v>
      </c>
      <c r="F80">
        <f>Tabla2[[#This Row],[Score Best Ever]]/Tabla2[[#This Row],[Points Possible]]*100</f>
        <v>80</v>
      </c>
      <c r="G80">
        <v>2</v>
      </c>
      <c r="H80" t="s">
        <v>18</v>
      </c>
      <c r="I80" t="s">
        <v>13</v>
      </c>
      <c r="J80" t="s">
        <v>65</v>
      </c>
      <c r="K80" t="s">
        <v>15</v>
      </c>
    </row>
    <row r="81" spans="1:11" x14ac:dyDescent="0.25">
      <c r="A81" t="s">
        <v>64</v>
      </c>
      <c r="B81" t="s">
        <v>28</v>
      </c>
      <c r="C81">
        <v>5</v>
      </c>
      <c r="D81">
        <v>5</v>
      </c>
      <c r="E81">
        <v>5</v>
      </c>
      <c r="F81">
        <f>Tabla2[[#This Row],[Score Best Ever]]/Tabla2[[#This Row],[Points Possible]]*100</f>
        <v>100</v>
      </c>
      <c r="G81">
        <v>1</v>
      </c>
      <c r="H81" t="s">
        <v>44</v>
      </c>
      <c r="I81" t="s">
        <v>13</v>
      </c>
      <c r="J81" t="s">
        <v>65</v>
      </c>
      <c r="K81" t="s">
        <v>15</v>
      </c>
    </row>
    <row r="82" spans="1:11" x14ac:dyDescent="0.25">
      <c r="A82" t="s">
        <v>64</v>
      </c>
      <c r="B82" t="s">
        <v>30</v>
      </c>
      <c r="C82">
        <v>4</v>
      </c>
      <c r="D82">
        <v>5</v>
      </c>
      <c r="E82">
        <v>5</v>
      </c>
      <c r="F82">
        <f>Tabla2[[#This Row],[Score Best Ever]]/Tabla2[[#This Row],[Points Possible]]*100</f>
        <v>100</v>
      </c>
      <c r="G82">
        <v>1</v>
      </c>
      <c r="H82" t="s">
        <v>50</v>
      </c>
      <c r="I82" t="s">
        <v>13</v>
      </c>
      <c r="J82" t="s">
        <v>65</v>
      </c>
      <c r="K82" t="s">
        <v>15</v>
      </c>
    </row>
    <row r="83" spans="1:11" x14ac:dyDescent="0.25">
      <c r="A83" t="s">
        <v>64</v>
      </c>
      <c r="B83" t="s">
        <v>31</v>
      </c>
      <c r="C83">
        <v>4</v>
      </c>
      <c r="D83">
        <v>5</v>
      </c>
      <c r="E83">
        <v>5</v>
      </c>
      <c r="F83">
        <f>Tabla2[[#This Row],[Score Best Ever]]/Tabla2[[#This Row],[Points Possible]]*100</f>
        <v>100</v>
      </c>
      <c r="G83">
        <v>1</v>
      </c>
      <c r="H83" t="s">
        <v>22</v>
      </c>
      <c r="I83" t="s">
        <v>13</v>
      </c>
      <c r="J83" t="s">
        <v>65</v>
      </c>
      <c r="K83" t="s">
        <v>15</v>
      </c>
    </row>
    <row r="84" spans="1:11" x14ac:dyDescent="0.25">
      <c r="A84" t="s">
        <v>64</v>
      </c>
      <c r="B84" t="s">
        <v>35</v>
      </c>
      <c r="C84">
        <v>5</v>
      </c>
      <c r="D84">
        <v>4</v>
      </c>
      <c r="E84">
        <v>5</v>
      </c>
      <c r="F84">
        <f>Tabla2[[#This Row],[Score Best Ever]]/Tabla2[[#This Row],[Points Possible]]*100</f>
        <v>80</v>
      </c>
      <c r="G84">
        <v>6</v>
      </c>
      <c r="H84" t="s">
        <v>67</v>
      </c>
      <c r="I84" t="s">
        <v>13</v>
      </c>
      <c r="J84" t="s">
        <v>65</v>
      </c>
      <c r="K84" t="s">
        <v>15</v>
      </c>
    </row>
    <row r="85" spans="1:11" x14ac:dyDescent="0.25">
      <c r="A85" t="s">
        <v>64</v>
      </c>
      <c r="B85" t="s">
        <v>37</v>
      </c>
      <c r="C85">
        <v>5</v>
      </c>
      <c r="D85">
        <v>5</v>
      </c>
      <c r="E85">
        <v>5</v>
      </c>
      <c r="F85">
        <f>Tabla2[[#This Row],[Score Best Ever]]/Tabla2[[#This Row],[Points Possible]]*100</f>
        <v>100</v>
      </c>
      <c r="G85">
        <v>10</v>
      </c>
      <c r="H85" t="s">
        <v>68</v>
      </c>
      <c r="I85" t="s">
        <v>13</v>
      </c>
      <c r="J85" t="s">
        <v>65</v>
      </c>
      <c r="K85" t="s">
        <v>15</v>
      </c>
    </row>
    <row r="86" spans="1:11" x14ac:dyDescent="0.25">
      <c r="A86" t="s">
        <v>64</v>
      </c>
      <c r="B86" t="s">
        <v>38</v>
      </c>
      <c r="C86">
        <v>4</v>
      </c>
      <c r="D86">
        <v>5</v>
      </c>
      <c r="E86">
        <v>5</v>
      </c>
      <c r="F86">
        <f>Tabla2[[#This Row],[Score Best Ever]]/Tabla2[[#This Row],[Points Possible]]*100</f>
        <v>100</v>
      </c>
      <c r="G86">
        <v>1</v>
      </c>
      <c r="H86" t="s">
        <v>52</v>
      </c>
      <c r="I86" t="s">
        <v>13</v>
      </c>
      <c r="J86" t="s">
        <v>65</v>
      </c>
      <c r="K86" t="s">
        <v>15</v>
      </c>
    </row>
    <row r="87" spans="1:11" x14ac:dyDescent="0.25">
      <c r="A87" t="s">
        <v>64</v>
      </c>
      <c r="B87" t="s">
        <v>40</v>
      </c>
      <c r="C87">
        <v>3</v>
      </c>
      <c r="D87">
        <v>4</v>
      </c>
      <c r="E87">
        <v>5</v>
      </c>
      <c r="F87">
        <f>Tabla2[[#This Row],[Score Best Ever]]/Tabla2[[#This Row],[Points Possible]]*100</f>
        <v>80</v>
      </c>
      <c r="G87">
        <v>1</v>
      </c>
      <c r="H87" t="s">
        <v>18</v>
      </c>
      <c r="I87" t="s">
        <v>13</v>
      </c>
      <c r="J87" t="s">
        <v>65</v>
      </c>
      <c r="K87" t="s">
        <v>15</v>
      </c>
    </row>
    <row r="88" spans="1:11" x14ac:dyDescent="0.25">
      <c r="A88" t="s">
        <v>64</v>
      </c>
      <c r="B88" t="s">
        <v>41</v>
      </c>
      <c r="C88">
        <v>3</v>
      </c>
      <c r="D88">
        <v>3</v>
      </c>
      <c r="E88">
        <v>5</v>
      </c>
      <c r="F88">
        <f>Tabla2[[#This Row],[Score Best Ever]]/Tabla2[[#This Row],[Points Possible]]*100</f>
        <v>60</v>
      </c>
      <c r="G88">
        <v>1</v>
      </c>
      <c r="H88" t="s">
        <v>18</v>
      </c>
      <c r="I88" t="s">
        <v>13</v>
      </c>
      <c r="J88" t="s">
        <v>65</v>
      </c>
      <c r="K88" t="s">
        <v>15</v>
      </c>
    </row>
    <row r="89" spans="1:11" x14ac:dyDescent="0.25">
      <c r="A89" t="s">
        <v>64</v>
      </c>
      <c r="B89" t="s">
        <v>42</v>
      </c>
      <c r="C89">
        <v>5</v>
      </c>
      <c r="D89">
        <v>5</v>
      </c>
      <c r="E89">
        <v>5</v>
      </c>
      <c r="F89">
        <f>Tabla2[[#This Row],[Score Best Ever]]/Tabla2[[#This Row],[Points Possible]]*100</f>
        <v>100</v>
      </c>
      <c r="G89">
        <v>4</v>
      </c>
      <c r="H89" t="s">
        <v>53</v>
      </c>
      <c r="I89" t="s">
        <v>13</v>
      </c>
      <c r="J89" t="s">
        <v>65</v>
      </c>
      <c r="K89" t="s">
        <v>15</v>
      </c>
    </row>
    <row r="90" spans="1:11" x14ac:dyDescent="0.25">
      <c r="A90" t="s">
        <v>64</v>
      </c>
      <c r="B90" t="s">
        <v>43</v>
      </c>
      <c r="C90">
        <v>4</v>
      </c>
      <c r="D90">
        <v>5</v>
      </c>
      <c r="E90">
        <v>5</v>
      </c>
      <c r="F90">
        <f>Tabla2[[#This Row],[Score Best Ever]]/Tabla2[[#This Row],[Points Possible]]*100</f>
        <v>100</v>
      </c>
      <c r="G90">
        <v>2</v>
      </c>
      <c r="H90" t="s">
        <v>39</v>
      </c>
      <c r="I90" t="s">
        <v>13</v>
      </c>
      <c r="J90" t="s">
        <v>65</v>
      </c>
      <c r="K90" t="s">
        <v>15</v>
      </c>
    </row>
    <row r="91" spans="1:11" x14ac:dyDescent="0.25">
      <c r="A91" t="s">
        <v>69</v>
      </c>
      <c r="B91" t="s">
        <v>11</v>
      </c>
      <c r="C91">
        <v>5</v>
      </c>
      <c r="D91">
        <v>6</v>
      </c>
      <c r="E91">
        <v>6</v>
      </c>
      <c r="F91">
        <f>Tabla2[[#This Row],[Score Best Ever]]/Tabla2[[#This Row],[Points Possible]]*100</f>
        <v>100</v>
      </c>
      <c r="G91">
        <v>3</v>
      </c>
      <c r="H91" t="s">
        <v>12</v>
      </c>
      <c r="I91" t="s">
        <v>13</v>
      </c>
      <c r="J91" t="s">
        <v>70</v>
      </c>
      <c r="K91" t="s">
        <v>15</v>
      </c>
    </row>
    <row r="92" spans="1:11" x14ac:dyDescent="0.25">
      <c r="A92" t="s">
        <v>69</v>
      </c>
      <c r="B92" t="s">
        <v>17</v>
      </c>
      <c r="C92">
        <v>5</v>
      </c>
      <c r="D92">
        <v>6</v>
      </c>
      <c r="E92">
        <v>6</v>
      </c>
      <c r="F92">
        <f>Tabla2[[#This Row],[Score Best Ever]]/Tabla2[[#This Row],[Points Possible]]*100</f>
        <v>100</v>
      </c>
      <c r="G92">
        <v>5</v>
      </c>
      <c r="H92" t="s">
        <v>18</v>
      </c>
      <c r="I92" t="s">
        <v>13</v>
      </c>
      <c r="J92" t="s">
        <v>70</v>
      </c>
      <c r="K92" t="s">
        <v>15</v>
      </c>
    </row>
    <row r="93" spans="1:11" x14ac:dyDescent="0.25">
      <c r="A93" t="s">
        <v>69</v>
      </c>
      <c r="B93" t="s">
        <v>19</v>
      </c>
      <c r="C93">
        <v>5</v>
      </c>
      <c r="D93">
        <v>6</v>
      </c>
      <c r="E93">
        <v>6</v>
      </c>
      <c r="F93">
        <f>Tabla2[[#This Row],[Score Best Ever]]/Tabla2[[#This Row],[Points Possible]]*100</f>
        <v>100</v>
      </c>
      <c r="G93">
        <v>2</v>
      </c>
      <c r="H93" t="s">
        <v>12</v>
      </c>
      <c r="I93" t="s">
        <v>13</v>
      </c>
      <c r="J93" t="s">
        <v>70</v>
      </c>
      <c r="K93" t="s">
        <v>15</v>
      </c>
    </row>
    <row r="94" spans="1:11" x14ac:dyDescent="0.25">
      <c r="A94" t="s">
        <v>69</v>
      </c>
      <c r="B94" t="s">
        <v>21</v>
      </c>
      <c r="C94">
        <v>4</v>
      </c>
      <c r="D94">
        <v>5</v>
      </c>
      <c r="E94">
        <v>6</v>
      </c>
      <c r="F94">
        <f>Tabla2[[#This Row],[Score Best Ever]]/Tabla2[[#This Row],[Points Possible]]*100</f>
        <v>83.333333333333343</v>
      </c>
      <c r="G94">
        <v>1</v>
      </c>
      <c r="H94" t="s">
        <v>47</v>
      </c>
      <c r="I94" t="s">
        <v>13</v>
      </c>
      <c r="J94" t="s">
        <v>70</v>
      </c>
      <c r="K94" t="s">
        <v>15</v>
      </c>
    </row>
    <row r="95" spans="1:11" x14ac:dyDescent="0.25">
      <c r="A95" t="s">
        <v>69</v>
      </c>
      <c r="B95" t="s">
        <v>23</v>
      </c>
      <c r="C95">
        <v>4</v>
      </c>
      <c r="D95">
        <v>5</v>
      </c>
      <c r="E95">
        <v>6</v>
      </c>
      <c r="F95">
        <f>Tabla2[[#This Row],[Score Best Ever]]/Tabla2[[#This Row],[Points Possible]]*100</f>
        <v>83.333333333333343</v>
      </c>
      <c r="G95">
        <v>2</v>
      </c>
      <c r="H95" t="s">
        <v>25</v>
      </c>
      <c r="I95" t="s">
        <v>13</v>
      </c>
      <c r="J95" t="s">
        <v>70</v>
      </c>
      <c r="K95" t="s">
        <v>15</v>
      </c>
    </row>
    <row r="96" spans="1:11" x14ac:dyDescent="0.25">
      <c r="A96" t="s">
        <v>69</v>
      </c>
      <c r="B96" t="s">
        <v>24</v>
      </c>
      <c r="C96">
        <v>5</v>
      </c>
      <c r="D96">
        <v>6</v>
      </c>
      <c r="E96">
        <v>6</v>
      </c>
      <c r="F96">
        <f>Tabla2[[#This Row],[Score Best Ever]]/Tabla2[[#This Row],[Points Possible]]*100</f>
        <v>100</v>
      </c>
      <c r="G96">
        <v>2</v>
      </c>
      <c r="H96" t="s">
        <v>12</v>
      </c>
      <c r="I96" t="s">
        <v>13</v>
      </c>
      <c r="J96" t="s">
        <v>70</v>
      </c>
      <c r="K96" t="s">
        <v>15</v>
      </c>
    </row>
    <row r="97" spans="1:11" x14ac:dyDescent="0.25">
      <c r="A97" t="s">
        <v>69</v>
      </c>
      <c r="B97" t="s">
        <v>27</v>
      </c>
      <c r="C97">
        <v>4</v>
      </c>
      <c r="D97">
        <v>3</v>
      </c>
      <c r="E97">
        <v>6</v>
      </c>
      <c r="F97">
        <f>Tabla2[[#This Row],[Score Best Ever]]/Tabla2[[#This Row],[Points Possible]]*100</f>
        <v>50</v>
      </c>
      <c r="G97">
        <v>2</v>
      </c>
      <c r="H97" t="s">
        <v>25</v>
      </c>
      <c r="I97" t="s">
        <v>13</v>
      </c>
      <c r="J97" t="s">
        <v>70</v>
      </c>
      <c r="K97" t="s">
        <v>15</v>
      </c>
    </row>
    <row r="98" spans="1:11" x14ac:dyDescent="0.25">
      <c r="A98" t="s">
        <v>69</v>
      </c>
      <c r="B98" t="s">
        <v>28</v>
      </c>
      <c r="C98">
        <v>5</v>
      </c>
      <c r="D98">
        <v>6</v>
      </c>
      <c r="E98">
        <v>6</v>
      </c>
      <c r="F98">
        <f>Tabla2[[#This Row],[Score Best Ever]]/Tabla2[[#This Row],[Points Possible]]*100</f>
        <v>100</v>
      </c>
      <c r="G98">
        <v>6</v>
      </c>
      <c r="H98" t="s">
        <v>22</v>
      </c>
      <c r="I98" t="s">
        <v>13</v>
      </c>
      <c r="J98" t="s">
        <v>70</v>
      </c>
      <c r="K98" t="s">
        <v>15</v>
      </c>
    </row>
    <row r="99" spans="1:11" x14ac:dyDescent="0.25">
      <c r="A99" t="s">
        <v>69</v>
      </c>
      <c r="B99" t="s">
        <v>30</v>
      </c>
      <c r="C99">
        <v>5</v>
      </c>
      <c r="D99">
        <v>6</v>
      </c>
      <c r="E99">
        <v>6</v>
      </c>
      <c r="F99">
        <f>Tabla2[[#This Row],[Score Best Ever]]/Tabla2[[#This Row],[Points Possible]]*100</f>
        <v>100</v>
      </c>
      <c r="G99">
        <v>2</v>
      </c>
      <c r="H99" t="s">
        <v>12</v>
      </c>
      <c r="I99" t="s">
        <v>13</v>
      </c>
      <c r="J99" t="s">
        <v>70</v>
      </c>
      <c r="K99" t="s">
        <v>15</v>
      </c>
    </row>
    <row r="100" spans="1:11" x14ac:dyDescent="0.25">
      <c r="A100" t="s">
        <v>69</v>
      </c>
      <c r="B100" t="s">
        <v>31</v>
      </c>
      <c r="C100">
        <v>4</v>
      </c>
      <c r="D100">
        <v>4</v>
      </c>
      <c r="E100">
        <v>6</v>
      </c>
      <c r="F100">
        <f>Tabla2[[#This Row],[Score Best Ever]]/Tabla2[[#This Row],[Points Possible]]*100</f>
        <v>66.666666666666657</v>
      </c>
      <c r="G100">
        <v>1</v>
      </c>
      <c r="H100" t="s">
        <v>47</v>
      </c>
      <c r="I100" t="s">
        <v>13</v>
      </c>
      <c r="J100" t="s">
        <v>70</v>
      </c>
      <c r="K100" t="s">
        <v>15</v>
      </c>
    </row>
    <row r="101" spans="1:11" x14ac:dyDescent="0.25">
      <c r="A101" t="s">
        <v>69</v>
      </c>
      <c r="B101" t="s">
        <v>35</v>
      </c>
      <c r="C101">
        <v>5</v>
      </c>
      <c r="D101">
        <v>5</v>
      </c>
      <c r="E101">
        <v>6</v>
      </c>
      <c r="F101">
        <f>Tabla2[[#This Row],[Score Best Ever]]/Tabla2[[#This Row],[Points Possible]]*100</f>
        <v>83.333333333333343</v>
      </c>
      <c r="G101">
        <v>22</v>
      </c>
      <c r="H101" t="s">
        <v>71</v>
      </c>
      <c r="I101" t="s">
        <v>13</v>
      </c>
      <c r="J101" t="s">
        <v>70</v>
      </c>
      <c r="K101" t="s">
        <v>15</v>
      </c>
    </row>
    <row r="102" spans="1:11" x14ac:dyDescent="0.25">
      <c r="A102" t="s">
        <v>69</v>
      </c>
      <c r="B102" t="s">
        <v>37</v>
      </c>
      <c r="C102">
        <v>5</v>
      </c>
      <c r="D102">
        <v>6</v>
      </c>
      <c r="E102">
        <v>6</v>
      </c>
      <c r="F102">
        <f>Tabla2[[#This Row],[Score Best Ever]]/Tabla2[[#This Row],[Points Possible]]*100</f>
        <v>100</v>
      </c>
      <c r="G102">
        <v>5</v>
      </c>
      <c r="H102" t="s">
        <v>18</v>
      </c>
      <c r="I102" t="s">
        <v>13</v>
      </c>
      <c r="J102" t="s">
        <v>70</v>
      </c>
      <c r="K102" t="s">
        <v>15</v>
      </c>
    </row>
    <row r="103" spans="1:11" x14ac:dyDescent="0.25">
      <c r="A103" t="s">
        <v>69</v>
      </c>
      <c r="B103" t="s">
        <v>38</v>
      </c>
      <c r="C103">
        <v>5</v>
      </c>
      <c r="D103">
        <v>6</v>
      </c>
      <c r="E103">
        <v>6</v>
      </c>
      <c r="F103">
        <f>Tabla2[[#This Row],[Score Best Ever]]/Tabla2[[#This Row],[Points Possible]]*100</f>
        <v>100</v>
      </c>
      <c r="G103">
        <v>7</v>
      </c>
      <c r="H103" t="s">
        <v>50</v>
      </c>
      <c r="I103" t="s">
        <v>13</v>
      </c>
      <c r="J103" t="s">
        <v>70</v>
      </c>
      <c r="K103" t="s">
        <v>15</v>
      </c>
    </row>
    <row r="104" spans="1:11" x14ac:dyDescent="0.25">
      <c r="A104" t="s">
        <v>69</v>
      </c>
      <c r="B104" t="s">
        <v>40</v>
      </c>
      <c r="C104">
        <v>4</v>
      </c>
      <c r="D104">
        <v>5</v>
      </c>
      <c r="E104">
        <v>6</v>
      </c>
      <c r="F104">
        <f>Tabla2[[#This Row],[Score Best Ever]]/Tabla2[[#This Row],[Points Possible]]*100</f>
        <v>83.333333333333343</v>
      </c>
      <c r="G104">
        <v>2</v>
      </c>
      <c r="H104" t="s">
        <v>25</v>
      </c>
      <c r="I104" t="s">
        <v>13</v>
      </c>
      <c r="J104" t="s">
        <v>70</v>
      </c>
      <c r="K104" t="s">
        <v>15</v>
      </c>
    </row>
    <row r="105" spans="1:11" x14ac:dyDescent="0.25">
      <c r="A105" t="s">
        <v>69</v>
      </c>
      <c r="B105" t="s">
        <v>41</v>
      </c>
      <c r="C105">
        <v>4</v>
      </c>
      <c r="D105">
        <v>4</v>
      </c>
      <c r="E105">
        <v>6</v>
      </c>
      <c r="F105">
        <f>Tabla2[[#This Row],[Score Best Ever]]/Tabla2[[#This Row],[Points Possible]]*100</f>
        <v>66.666666666666657</v>
      </c>
      <c r="G105">
        <v>1</v>
      </c>
      <c r="H105" t="s">
        <v>47</v>
      </c>
      <c r="I105" t="s">
        <v>13</v>
      </c>
      <c r="J105" t="s">
        <v>70</v>
      </c>
      <c r="K105" t="s">
        <v>15</v>
      </c>
    </row>
    <row r="106" spans="1:11" x14ac:dyDescent="0.25">
      <c r="A106" t="s">
        <v>69</v>
      </c>
      <c r="B106" t="s">
        <v>42</v>
      </c>
      <c r="C106">
        <v>5</v>
      </c>
      <c r="D106">
        <v>6</v>
      </c>
      <c r="E106">
        <v>6</v>
      </c>
      <c r="F106">
        <f>Tabla2[[#This Row],[Score Best Ever]]/Tabla2[[#This Row],[Points Possible]]*100</f>
        <v>100</v>
      </c>
      <c r="G106">
        <v>3</v>
      </c>
      <c r="H106" t="s">
        <v>12</v>
      </c>
      <c r="I106" t="s">
        <v>13</v>
      </c>
      <c r="J106" t="s">
        <v>70</v>
      </c>
      <c r="K106" t="s">
        <v>15</v>
      </c>
    </row>
    <row r="107" spans="1:11" x14ac:dyDescent="0.25">
      <c r="A107" t="s">
        <v>69</v>
      </c>
      <c r="B107" t="s">
        <v>43</v>
      </c>
      <c r="C107">
        <v>5</v>
      </c>
      <c r="D107">
        <v>6</v>
      </c>
      <c r="E107">
        <v>6</v>
      </c>
      <c r="F107">
        <f>Tabla2[[#This Row],[Score Best Ever]]/Tabla2[[#This Row],[Points Possible]]*100</f>
        <v>100</v>
      </c>
      <c r="G107">
        <v>4</v>
      </c>
      <c r="H107" t="s">
        <v>52</v>
      </c>
      <c r="I107" t="s">
        <v>13</v>
      </c>
      <c r="J107" t="s">
        <v>70</v>
      </c>
      <c r="K107" t="s">
        <v>15</v>
      </c>
    </row>
    <row r="108" spans="1:11" x14ac:dyDescent="0.25">
      <c r="A108" t="s">
        <v>72</v>
      </c>
      <c r="B108" t="s">
        <v>11</v>
      </c>
      <c r="C108">
        <v>4</v>
      </c>
      <c r="D108">
        <v>4</v>
      </c>
      <c r="E108">
        <v>6</v>
      </c>
      <c r="F108">
        <f>Tabla2[[#This Row],[Score Best Ever]]/Tabla2[[#This Row],[Points Possible]]*100</f>
        <v>66.666666666666657</v>
      </c>
      <c r="G108">
        <v>2</v>
      </c>
      <c r="H108" t="s">
        <v>18</v>
      </c>
      <c r="I108" t="s">
        <v>13</v>
      </c>
      <c r="J108" t="s">
        <v>73</v>
      </c>
      <c r="K108" t="s">
        <v>15</v>
      </c>
    </row>
    <row r="109" spans="1:11" x14ac:dyDescent="0.25">
      <c r="A109" t="s">
        <v>72</v>
      </c>
      <c r="B109" t="s">
        <v>17</v>
      </c>
      <c r="C109">
        <v>5</v>
      </c>
      <c r="D109">
        <v>6</v>
      </c>
      <c r="E109">
        <v>6</v>
      </c>
      <c r="F109">
        <f>Tabla2[[#This Row],[Score Best Ever]]/Tabla2[[#This Row],[Points Possible]]*100</f>
        <v>100</v>
      </c>
      <c r="G109">
        <v>14</v>
      </c>
      <c r="H109" t="s">
        <v>74</v>
      </c>
      <c r="I109" t="s">
        <v>13</v>
      </c>
      <c r="J109" t="s">
        <v>73</v>
      </c>
      <c r="K109" t="s">
        <v>15</v>
      </c>
    </row>
    <row r="110" spans="1:11" x14ac:dyDescent="0.25">
      <c r="A110" t="s">
        <v>72</v>
      </c>
      <c r="B110" t="s">
        <v>19</v>
      </c>
      <c r="C110">
        <v>4</v>
      </c>
      <c r="D110">
        <v>5</v>
      </c>
      <c r="E110">
        <v>6</v>
      </c>
      <c r="F110">
        <f>Tabla2[[#This Row],[Score Best Ever]]/Tabla2[[#This Row],[Points Possible]]*100</f>
        <v>83.333333333333343</v>
      </c>
      <c r="G110">
        <v>4</v>
      </c>
      <c r="H110" t="s">
        <v>50</v>
      </c>
      <c r="I110" t="s">
        <v>13</v>
      </c>
      <c r="J110" t="s">
        <v>73</v>
      </c>
      <c r="K110" t="s">
        <v>15</v>
      </c>
    </row>
    <row r="111" spans="1:11" x14ac:dyDescent="0.25">
      <c r="A111" t="s">
        <v>72</v>
      </c>
      <c r="B111" t="s">
        <v>21</v>
      </c>
      <c r="C111">
        <v>5</v>
      </c>
      <c r="D111">
        <v>1</v>
      </c>
      <c r="E111">
        <v>6</v>
      </c>
      <c r="F111">
        <f>Tabla2[[#This Row],[Score Best Ever]]/Tabla2[[#This Row],[Points Possible]]*100</f>
        <v>16.666666666666664</v>
      </c>
      <c r="G111">
        <v>2</v>
      </c>
      <c r="H111" t="s">
        <v>12</v>
      </c>
      <c r="I111" t="s">
        <v>13</v>
      </c>
      <c r="J111" t="s">
        <v>73</v>
      </c>
      <c r="K111" t="s">
        <v>15</v>
      </c>
    </row>
    <row r="112" spans="1:11" x14ac:dyDescent="0.25">
      <c r="A112" t="s">
        <v>72</v>
      </c>
      <c r="B112" t="s">
        <v>23</v>
      </c>
      <c r="C112">
        <v>5</v>
      </c>
      <c r="D112">
        <v>5</v>
      </c>
      <c r="E112">
        <v>6</v>
      </c>
      <c r="F112">
        <f>Tabla2[[#This Row],[Score Best Ever]]/Tabla2[[#This Row],[Points Possible]]*100</f>
        <v>83.333333333333343</v>
      </c>
      <c r="G112">
        <v>9</v>
      </c>
      <c r="H112" t="s">
        <v>75</v>
      </c>
      <c r="I112" t="s">
        <v>13</v>
      </c>
      <c r="J112" t="s">
        <v>73</v>
      </c>
      <c r="K112" t="s">
        <v>15</v>
      </c>
    </row>
    <row r="113" spans="1:11" x14ac:dyDescent="0.25">
      <c r="A113" t="s">
        <v>72</v>
      </c>
      <c r="B113" t="s">
        <v>24</v>
      </c>
      <c r="C113">
        <v>4</v>
      </c>
      <c r="D113">
        <v>4</v>
      </c>
      <c r="E113">
        <v>6</v>
      </c>
      <c r="F113">
        <f>Tabla2[[#This Row],[Score Best Ever]]/Tabla2[[#This Row],[Points Possible]]*100</f>
        <v>66.666666666666657</v>
      </c>
      <c r="G113">
        <v>1</v>
      </c>
      <c r="H113" t="s">
        <v>25</v>
      </c>
      <c r="I113" t="s">
        <v>13</v>
      </c>
      <c r="J113" t="s">
        <v>73</v>
      </c>
      <c r="K113" t="s">
        <v>15</v>
      </c>
    </row>
    <row r="114" spans="1:11" x14ac:dyDescent="0.25">
      <c r="A114" t="s">
        <v>72</v>
      </c>
      <c r="B114" t="s">
        <v>27</v>
      </c>
      <c r="C114">
        <v>5</v>
      </c>
      <c r="D114">
        <v>3</v>
      </c>
      <c r="E114">
        <v>6</v>
      </c>
      <c r="F114">
        <f>Tabla2[[#This Row],[Score Best Ever]]/Tabla2[[#This Row],[Points Possible]]*100</f>
        <v>50</v>
      </c>
      <c r="G114">
        <v>1</v>
      </c>
      <c r="H114" t="s">
        <v>12</v>
      </c>
      <c r="I114" t="s">
        <v>13</v>
      </c>
      <c r="J114" t="s">
        <v>73</v>
      </c>
      <c r="K114" t="s">
        <v>15</v>
      </c>
    </row>
    <row r="115" spans="1:11" x14ac:dyDescent="0.25">
      <c r="A115" t="s">
        <v>72</v>
      </c>
      <c r="B115" t="s">
        <v>28</v>
      </c>
      <c r="C115">
        <v>5</v>
      </c>
      <c r="D115">
        <v>3</v>
      </c>
      <c r="E115">
        <v>6</v>
      </c>
      <c r="F115">
        <f>Tabla2[[#This Row],[Score Best Ever]]/Tabla2[[#This Row],[Points Possible]]*100</f>
        <v>50</v>
      </c>
      <c r="G115">
        <v>1</v>
      </c>
      <c r="H115" t="s">
        <v>53</v>
      </c>
      <c r="I115" t="s">
        <v>13</v>
      </c>
      <c r="J115" t="s">
        <v>73</v>
      </c>
      <c r="K115" t="s">
        <v>15</v>
      </c>
    </row>
    <row r="116" spans="1:11" x14ac:dyDescent="0.25">
      <c r="A116" t="s">
        <v>72</v>
      </c>
      <c r="B116" t="s">
        <v>30</v>
      </c>
      <c r="C116">
        <v>4</v>
      </c>
      <c r="D116">
        <v>4</v>
      </c>
      <c r="E116">
        <v>6</v>
      </c>
      <c r="F116">
        <f>Tabla2[[#This Row],[Score Best Ever]]/Tabla2[[#This Row],[Points Possible]]*100</f>
        <v>66.666666666666657</v>
      </c>
      <c r="G116">
        <v>2</v>
      </c>
      <c r="H116" t="s">
        <v>18</v>
      </c>
      <c r="I116" t="s">
        <v>13</v>
      </c>
      <c r="J116" t="s">
        <v>73</v>
      </c>
      <c r="K116" t="s">
        <v>15</v>
      </c>
    </row>
    <row r="117" spans="1:11" x14ac:dyDescent="0.25">
      <c r="A117" t="s">
        <v>72</v>
      </c>
      <c r="B117" t="s">
        <v>31</v>
      </c>
      <c r="C117">
        <v>4</v>
      </c>
      <c r="D117">
        <v>6</v>
      </c>
      <c r="E117">
        <v>6</v>
      </c>
      <c r="F117">
        <f>Tabla2[[#This Row],[Score Best Ever]]/Tabla2[[#This Row],[Points Possible]]*100</f>
        <v>100</v>
      </c>
      <c r="G117">
        <v>1</v>
      </c>
      <c r="H117" t="s">
        <v>25</v>
      </c>
      <c r="I117" t="s">
        <v>13</v>
      </c>
      <c r="J117" t="s">
        <v>73</v>
      </c>
      <c r="K117" t="s">
        <v>15</v>
      </c>
    </row>
    <row r="118" spans="1:11" x14ac:dyDescent="0.25">
      <c r="A118" t="s">
        <v>72</v>
      </c>
      <c r="B118" t="s">
        <v>35</v>
      </c>
      <c r="C118">
        <v>5</v>
      </c>
      <c r="D118">
        <v>4</v>
      </c>
      <c r="E118">
        <v>6</v>
      </c>
      <c r="F118">
        <f>Tabla2[[#This Row],[Score Best Ever]]/Tabla2[[#This Row],[Points Possible]]*100</f>
        <v>66.666666666666657</v>
      </c>
      <c r="G118">
        <v>13</v>
      </c>
      <c r="H118" t="s">
        <v>76</v>
      </c>
      <c r="I118" t="s">
        <v>13</v>
      </c>
      <c r="J118" t="s">
        <v>73</v>
      </c>
      <c r="K118" t="s">
        <v>15</v>
      </c>
    </row>
    <row r="119" spans="1:11" x14ac:dyDescent="0.25">
      <c r="A119" t="s">
        <v>72</v>
      </c>
      <c r="B119" t="s">
        <v>37</v>
      </c>
      <c r="C119">
        <v>5</v>
      </c>
      <c r="D119">
        <v>5</v>
      </c>
      <c r="E119">
        <v>6</v>
      </c>
      <c r="F119">
        <f>Tabla2[[#This Row],[Score Best Ever]]/Tabla2[[#This Row],[Points Possible]]*100</f>
        <v>83.333333333333343</v>
      </c>
      <c r="G119">
        <v>7</v>
      </c>
      <c r="H119" t="s">
        <v>54</v>
      </c>
      <c r="I119" t="s">
        <v>13</v>
      </c>
      <c r="J119" t="s">
        <v>73</v>
      </c>
      <c r="K119" t="s">
        <v>15</v>
      </c>
    </row>
    <row r="120" spans="1:11" x14ac:dyDescent="0.25">
      <c r="A120" t="s">
        <v>72</v>
      </c>
      <c r="B120" t="s">
        <v>38</v>
      </c>
      <c r="C120">
        <v>5</v>
      </c>
      <c r="D120">
        <v>6</v>
      </c>
      <c r="E120">
        <v>6</v>
      </c>
      <c r="F120">
        <f>Tabla2[[#This Row],[Score Best Ever]]/Tabla2[[#This Row],[Points Possible]]*100</f>
        <v>100</v>
      </c>
      <c r="G120">
        <v>12</v>
      </c>
      <c r="H120" t="s">
        <v>75</v>
      </c>
      <c r="I120" t="s">
        <v>13</v>
      </c>
      <c r="J120" t="s">
        <v>73</v>
      </c>
      <c r="K120" t="s">
        <v>15</v>
      </c>
    </row>
    <row r="121" spans="1:11" x14ac:dyDescent="0.25">
      <c r="A121" t="s">
        <v>72</v>
      </c>
      <c r="B121" t="s">
        <v>40</v>
      </c>
      <c r="C121">
        <v>5</v>
      </c>
      <c r="D121">
        <v>6</v>
      </c>
      <c r="E121">
        <v>6</v>
      </c>
      <c r="F121">
        <f>Tabla2[[#This Row],[Score Best Ever]]/Tabla2[[#This Row],[Points Possible]]*100</f>
        <v>100</v>
      </c>
      <c r="G121">
        <v>1</v>
      </c>
      <c r="H121" t="s">
        <v>12</v>
      </c>
      <c r="I121" t="s">
        <v>13</v>
      </c>
      <c r="J121" t="s">
        <v>73</v>
      </c>
      <c r="K121" t="s">
        <v>15</v>
      </c>
    </row>
    <row r="122" spans="1:11" x14ac:dyDescent="0.25">
      <c r="A122" t="s">
        <v>72</v>
      </c>
      <c r="B122" t="s">
        <v>41</v>
      </c>
      <c r="C122">
        <v>4</v>
      </c>
      <c r="D122">
        <v>5</v>
      </c>
      <c r="E122">
        <v>6</v>
      </c>
      <c r="F122">
        <f>Tabla2[[#This Row],[Score Best Ever]]/Tabla2[[#This Row],[Points Possible]]*100</f>
        <v>83.333333333333343</v>
      </c>
      <c r="G122">
        <v>1</v>
      </c>
      <c r="H122" t="s">
        <v>25</v>
      </c>
      <c r="I122" t="s">
        <v>13</v>
      </c>
      <c r="J122" t="s">
        <v>73</v>
      </c>
      <c r="K122" t="s">
        <v>15</v>
      </c>
    </row>
    <row r="123" spans="1:11" x14ac:dyDescent="0.25">
      <c r="A123" t="s">
        <v>72</v>
      </c>
      <c r="B123" t="s">
        <v>42</v>
      </c>
      <c r="C123">
        <v>5</v>
      </c>
      <c r="D123">
        <v>6</v>
      </c>
      <c r="E123">
        <v>6</v>
      </c>
      <c r="F123">
        <f>Tabla2[[#This Row],[Score Best Ever]]/Tabla2[[#This Row],[Points Possible]]*100</f>
        <v>100</v>
      </c>
      <c r="G123">
        <v>11</v>
      </c>
      <c r="H123" t="s">
        <v>54</v>
      </c>
      <c r="I123" t="s">
        <v>13</v>
      </c>
      <c r="J123" t="s">
        <v>73</v>
      </c>
      <c r="K123" t="s">
        <v>15</v>
      </c>
    </row>
    <row r="124" spans="1:11" x14ac:dyDescent="0.25">
      <c r="A124" t="s">
        <v>72</v>
      </c>
      <c r="B124" t="s">
        <v>43</v>
      </c>
      <c r="C124">
        <v>4</v>
      </c>
      <c r="D124">
        <v>6</v>
      </c>
      <c r="E124">
        <v>6</v>
      </c>
      <c r="F124">
        <f>Tabla2[[#This Row],[Score Best Ever]]/Tabla2[[#This Row],[Points Possible]]*100</f>
        <v>100</v>
      </c>
      <c r="G124">
        <v>2</v>
      </c>
      <c r="H124" t="s">
        <v>18</v>
      </c>
      <c r="I124" t="s">
        <v>13</v>
      </c>
      <c r="J124" t="s">
        <v>73</v>
      </c>
      <c r="K124" t="s">
        <v>15</v>
      </c>
    </row>
    <row r="125" spans="1:11" x14ac:dyDescent="0.25">
      <c r="A125" t="s">
        <v>77</v>
      </c>
      <c r="B125" t="s">
        <v>11</v>
      </c>
      <c r="C125">
        <v>5</v>
      </c>
      <c r="D125">
        <v>4</v>
      </c>
      <c r="E125">
        <v>5</v>
      </c>
      <c r="F125">
        <f>Tabla2[[#This Row],[Score Best Ever]]/Tabla2[[#This Row],[Points Possible]]*100</f>
        <v>80</v>
      </c>
      <c r="G125">
        <v>4</v>
      </c>
      <c r="H125" t="s">
        <v>44</v>
      </c>
      <c r="I125" t="s">
        <v>13</v>
      </c>
      <c r="J125" t="s">
        <v>78</v>
      </c>
      <c r="K125" t="s">
        <v>15</v>
      </c>
    </row>
    <row r="126" spans="1:11" x14ac:dyDescent="0.25">
      <c r="A126" t="s">
        <v>77</v>
      </c>
      <c r="B126" t="s">
        <v>17</v>
      </c>
      <c r="C126">
        <v>4</v>
      </c>
      <c r="D126">
        <v>5</v>
      </c>
      <c r="E126">
        <v>5</v>
      </c>
      <c r="F126">
        <f>Tabla2[[#This Row],[Score Best Ever]]/Tabla2[[#This Row],[Points Possible]]*100</f>
        <v>100</v>
      </c>
      <c r="G126">
        <v>3</v>
      </c>
      <c r="H126" t="s">
        <v>79</v>
      </c>
      <c r="I126" t="s">
        <v>13</v>
      </c>
      <c r="J126" t="s">
        <v>78</v>
      </c>
      <c r="K126" t="s">
        <v>15</v>
      </c>
    </row>
    <row r="127" spans="1:11" x14ac:dyDescent="0.25">
      <c r="A127" t="s">
        <v>77</v>
      </c>
      <c r="B127" t="s">
        <v>19</v>
      </c>
      <c r="C127">
        <v>5</v>
      </c>
      <c r="D127">
        <v>5</v>
      </c>
      <c r="E127">
        <v>5</v>
      </c>
      <c r="F127">
        <f>Tabla2[[#This Row],[Score Best Ever]]/Tabla2[[#This Row],[Points Possible]]*100</f>
        <v>100</v>
      </c>
      <c r="G127">
        <v>2</v>
      </c>
      <c r="H127" t="s">
        <v>53</v>
      </c>
      <c r="I127" t="s">
        <v>13</v>
      </c>
      <c r="J127" t="s">
        <v>78</v>
      </c>
      <c r="K127" t="s">
        <v>15</v>
      </c>
    </row>
    <row r="128" spans="1:11" x14ac:dyDescent="0.25">
      <c r="A128" t="s">
        <v>77</v>
      </c>
      <c r="B128" t="s">
        <v>21</v>
      </c>
      <c r="D128">
        <v>1</v>
      </c>
      <c r="E128">
        <v>5</v>
      </c>
      <c r="F128">
        <f>Tabla2[[#This Row],[Score Best Ever]]/Tabla2[[#This Row],[Points Possible]]*100</f>
        <v>20</v>
      </c>
      <c r="G128">
        <v>0</v>
      </c>
      <c r="H128" t="s">
        <v>80</v>
      </c>
      <c r="I128" t="s">
        <v>13</v>
      </c>
      <c r="J128" t="s">
        <v>78</v>
      </c>
      <c r="K128" t="s">
        <v>15</v>
      </c>
    </row>
    <row r="129" spans="1:11" x14ac:dyDescent="0.25">
      <c r="A129" t="s">
        <v>77</v>
      </c>
      <c r="B129" t="s">
        <v>23</v>
      </c>
      <c r="C129">
        <v>5</v>
      </c>
      <c r="D129">
        <v>5</v>
      </c>
      <c r="E129">
        <v>5</v>
      </c>
      <c r="F129">
        <f>Tabla2[[#This Row],[Score Best Ever]]/Tabla2[[#This Row],[Points Possible]]*100</f>
        <v>100</v>
      </c>
      <c r="G129">
        <v>6</v>
      </c>
      <c r="H129" t="s">
        <v>39</v>
      </c>
      <c r="I129" t="s">
        <v>13</v>
      </c>
      <c r="J129" t="s">
        <v>78</v>
      </c>
      <c r="K129" t="s">
        <v>15</v>
      </c>
    </row>
    <row r="130" spans="1:11" x14ac:dyDescent="0.25">
      <c r="A130" t="s">
        <v>77</v>
      </c>
      <c r="B130" t="s">
        <v>24</v>
      </c>
      <c r="D130">
        <v>3</v>
      </c>
      <c r="E130">
        <v>5</v>
      </c>
      <c r="F130">
        <f>Tabla2[[#This Row],[Score Best Ever]]/Tabla2[[#This Row],[Points Possible]]*100</f>
        <v>60</v>
      </c>
      <c r="G130">
        <v>0</v>
      </c>
      <c r="H130" t="s">
        <v>81</v>
      </c>
      <c r="I130" t="s">
        <v>13</v>
      </c>
      <c r="J130" t="s">
        <v>78</v>
      </c>
      <c r="K130" t="s">
        <v>15</v>
      </c>
    </row>
    <row r="131" spans="1:11" x14ac:dyDescent="0.25">
      <c r="A131" t="s">
        <v>77</v>
      </c>
      <c r="B131" t="s">
        <v>27</v>
      </c>
      <c r="D131">
        <v>4</v>
      </c>
      <c r="E131">
        <v>5</v>
      </c>
      <c r="F131">
        <f>Tabla2[[#This Row],[Score Best Ever]]/Tabla2[[#This Row],[Points Possible]]*100</f>
        <v>80</v>
      </c>
      <c r="G131">
        <v>0</v>
      </c>
      <c r="H131" t="s">
        <v>82</v>
      </c>
      <c r="I131" t="s">
        <v>13</v>
      </c>
      <c r="J131" t="s">
        <v>78</v>
      </c>
      <c r="K131" t="s">
        <v>15</v>
      </c>
    </row>
    <row r="132" spans="1:11" x14ac:dyDescent="0.25">
      <c r="A132" t="s">
        <v>77</v>
      </c>
      <c r="B132" t="s">
        <v>28</v>
      </c>
      <c r="C132">
        <v>4</v>
      </c>
      <c r="D132">
        <v>4</v>
      </c>
      <c r="E132">
        <v>5</v>
      </c>
      <c r="F132">
        <f>Tabla2[[#This Row],[Score Best Ever]]/Tabla2[[#This Row],[Points Possible]]*100</f>
        <v>80</v>
      </c>
      <c r="G132">
        <v>1</v>
      </c>
      <c r="H132" t="s">
        <v>50</v>
      </c>
      <c r="I132" t="s">
        <v>13</v>
      </c>
      <c r="J132" t="s">
        <v>78</v>
      </c>
      <c r="K132" t="s">
        <v>15</v>
      </c>
    </row>
    <row r="133" spans="1:11" x14ac:dyDescent="0.25">
      <c r="A133" t="s">
        <v>77</v>
      </c>
      <c r="B133" t="s">
        <v>30</v>
      </c>
      <c r="D133">
        <v>4</v>
      </c>
      <c r="E133">
        <v>5</v>
      </c>
      <c r="F133">
        <f>Tabla2[[#This Row],[Score Best Ever]]/Tabla2[[#This Row],[Points Possible]]*100</f>
        <v>80</v>
      </c>
      <c r="G133">
        <v>0</v>
      </c>
      <c r="H133" t="s">
        <v>83</v>
      </c>
      <c r="I133" t="s">
        <v>13</v>
      </c>
      <c r="J133" t="s">
        <v>78</v>
      </c>
      <c r="K133" t="s">
        <v>15</v>
      </c>
    </row>
    <row r="134" spans="1:11" x14ac:dyDescent="0.25">
      <c r="A134" t="s">
        <v>77</v>
      </c>
      <c r="B134" t="s">
        <v>31</v>
      </c>
      <c r="C134">
        <v>5</v>
      </c>
      <c r="D134">
        <v>3</v>
      </c>
      <c r="E134">
        <v>5</v>
      </c>
      <c r="F134">
        <f>Tabla2[[#This Row],[Score Best Ever]]/Tabla2[[#This Row],[Points Possible]]*100</f>
        <v>60</v>
      </c>
      <c r="G134">
        <v>1</v>
      </c>
      <c r="H134" t="s">
        <v>12</v>
      </c>
      <c r="I134" t="s">
        <v>13</v>
      </c>
      <c r="J134" t="s">
        <v>78</v>
      </c>
      <c r="K134" t="s">
        <v>15</v>
      </c>
    </row>
    <row r="135" spans="1:11" x14ac:dyDescent="0.25">
      <c r="A135" t="s">
        <v>77</v>
      </c>
      <c r="B135" t="s">
        <v>35</v>
      </c>
      <c r="C135">
        <v>5</v>
      </c>
      <c r="D135">
        <v>3</v>
      </c>
      <c r="E135">
        <v>5</v>
      </c>
      <c r="F135">
        <f>Tabla2[[#This Row],[Score Best Ever]]/Tabla2[[#This Row],[Points Possible]]*100</f>
        <v>60</v>
      </c>
      <c r="G135">
        <v>7</v>
      </c>
      <c r="H135" t="s">
        <v>74</v>
      </c>
      <c r="I135" t="s">
        <v>13</v>
      </c>
      <c r="J135" t="s">
        <v>78</v>
      </c>
      <c r="K135" t="s">
        <v>15</v>
      </c>
    </row>
    <row r="136" spans="1:11" x14ac:dyDescent="0.25">
      <c r="A136" t="s">
        <v>77</v>
      </c>
      <c r="B136" t="s">
        <v>37</v>
      </c>
      <c r="C136">
        <v>5</v>
      </c>
      <c r="D136">
        <v>4</v>
      </c>
      <c r="E136">
        <v>5</v>
      </c>
      <c r="F136">
        <f>Tabla2[[#This Row],[Score Best Ever]]/Tabla2[[#This Row],[Points Possible]]*100</f>
        <v>80</v>
      </c>
      <c r="G136">
        <v>5</v>
      </c>
      <c r="H136" t="s">
        <v>84</v>
      </c>
      <c r="I136" t="s">
        <v>13</v>
      </c>
      <c r="J136" t="s">
        <v>78</v>
      </c>
      <c r="K136" t="s">
        <v>15</v>
      </c>
    </row>
    <row r="137" spans="1:11" x14ac:dyDescent="0.25">
      <c r="A137" t="s">
        <v>77</v>
      </c>
      <c r="B137" t="s">
        <v>38</v>
      </c>
      <c r="C137">
        <v>4</v>
      </c>
      <c r="D137">
        <v>5</v>
      </c>
      <c r="E137">
        <v>5</v>
      </c>
      <c r="F137">
        <f>Tabla2[[#This Row],[Score Best Ever]]/Tabla2[[#This Row],[Points Possible]]*100</f>
        <v>100</v>
      </c>
      <c r="G137">
        <v>3</v>
      </c>
      <c r="H137" t="s">
        <v>67</v>
      </c>
      <c r="I137" t="s">
        <v>13</v>
      </c>
      <c r="J137" t="s">
        <v>78</v>
      </c>
      <c r="K137" t="s">
        <v>15</v>
      </c>
    </row>
    <row r="138" spans="1:11" x14ac:dyDescent="0.25">
      <c r="A138" t="s">
        <v>77</v>
      </c>
      <c r="B138" t="s">
        <v>40</v>
      </c>
      <c r="C138">
        <v>4</v>
      </c>
      <c r="D138">
        <v>5</v>
      </c>
      <c r="E138">
        <v>5</v>
      </c>
      <c r="F138">
        <f>Tabla2[[#This Row],[Score Best Ever]]/Tabla2[[#This Row],[Points Possible]]*100</f>
        <v>100</v>
      </c>
      <c r="G138">
        <v>2</v>
      </c>
      <c r="H138" t="s">
        <v>18</v>
      </c>
      <c r="I138" t="s">
        <v>13</v>
      </c>
      <c r="J138" t="s">
        <v>78</v>
      </c>
      <c r="K138" t="s">
        <v>15</v>
      </c>
    </row>
    <row r="139" spans="1:11" x14ac:dyDescent="0.25">
      <c r="A139" t="s">
        <v>77</v>
      </c>
      <c r="B139" t="s">
        <v>41</v>
      </c>
      <c r="C139">
        <v>5</v>
      </c>
      <c r="D139">
        <v>5</v>
      </c>
      <c r="E139">
        <v>5</v>
      </c>
      <c r="F139">
        <f>Tabla2[[#This Row],[Score Best Ever]]/Tabla2[[#This Row],[Points Possible]]*100</f>
        <v>100</v>
      </c>
      <c r="G139">
        <v>1</v>
      </c>
      <c r="H139" t="s">
        <v>12</v>
      </c>
      <c r="I139" t="s">
        <v>13</v>
      </c>
      <c r="J139" t="s">
        <v>78</v>
      </c>
      <c r="K139" t="s">
        <v>15</v>
      </c>
    </row>
    <row r="140" spans="1:11" x14ac:dyDescent="0.25">
      <c r="A140" t="s">
        <v>77</v>
      </c>
      <c r="B140" t="s">
        <v>42</v>
      </c>
      <c r="D140">
        <v>5</v>
      </c>
      <c r="E140">
        <v>5</v>
      </c>
      <c r="F140">
        <f>Tabla2[[#This Row],[Score Best Ever]]/Tabla2[[#This Row],[Points Possible]]*100</f>
        <v>100</v>
      </c>
      <c r="G140">
        <v>0</v>
      </c>
      <c r="H140" t="s">
        <v>85</v>
      </c>
      <c r="I140" t="s">
        <v>13</v>
      </c>
      <c r="J140" t="s">
        <v>78</v>
      </c>
      <c r="K140" t="s">
        <v>15</v>
      </c>
    </row>
    <row r="141" spans="1:11" x14ac:dyDescent="0.25">
      <c r="A141" t="s">
        <v>77</v>
      </c>
      <c r="B141" t="s">
        <v>43</v>
      </c>
      <c r="C141">
        <v>5</v>
      </c>
      <c r="D141">
        <v>5</v>
      </c>
      <c r="E141">
        <v>5</v>
      </c>
      <c r="F141">
        <f>Tabla2[[#This Row],[Score Best Ever]]/Tabla2[[#This Row],[Points Possible]]*100</f>
        <v>100</v>
      </c>
      <c r="G141">
        <v>4</v>
      </c>
      <c r="H141" t="s">
        <v>44</v>
      </c>
      <c r="I141" t="s">
        <v>13</v>
      </c>
      <c r="J141" t="s">
        <v>78</v>
      </c>
      <c r="K141" t="s">
        <v>15</v>
      </c>
    </row>
    <row r="142" spans="1:11" x14ac:dyDescent="0.25">
      <c r="A142" t="s">
        <v>86</v>
      </c>
      <c r="B142" t="s">
        <v>11</v>
      </c>
      <c r="C142">
        <v>5</v>
      </c>
      <c r="D142">
        <v>5</v>
      </c>
      <c r="E142">
        <v>5</v>
      </c>
      <c r="F142">
        <f>Tabla2[[#This Row],[Score Best Ever]]/Tabla2[[#This Row],[Points Possible]]*100</f>
        <v>100</v>
      </c>
      <c r="G142">
        <v>2</v>
      </c>
      <c r="H142" t="s">
        <v>12</v>
      </c>
      <c r="I142" t="s">
        <v>13</v>
      </c>
      <c r="J142" t="s">
        <v>87</v>
      </c>
      <c r="K142" t="s">
        <v>15</v>
      </c>
    </row>
    <row r="143" spans="1:11" x14ac:dyDescent="0.25">
      <c r="A143" t="s">
        <v>86</v>
      </c>
      <c r="B143" t="s">
        <v>17</v>
      </c>
      <c r="C143">
        <v>5</v>
      </c>
      <c r="D143">
        <v>4</v>
      </c>
      <c r="E143">
        <v>5</v>
      </c>
      <c r="F143">
        <f>Tabla2[[#This Row],[Score Best Ever]]/Tabla2[[#This Row],[Points Possible]]*100</f>
        <v>80</v>
      </c>
      <c r="G143">
        <v>4</v>
      </c>
      <c r="H143" t="s">
        <v>53</v>
      </c>
      <c r="I143" t="s">
        <v>13</v>
      </c>
      <c r="J143" t="s">
        <v>87</v>
      </c>
      <c r="K143" t="s">
        <v>15</v>
      </c>
    </row>
    <row r="144" spans="1:11" x14ac:dyDescent="0.25">
      <c r="A144" t="s">
        <v>86</v>
      </c>
      <c r="B144" t="s">
        <v>19</v>
      </c>
      <c r="C144">
        <v>5</v>
      </c>
      <c r="D144">
        <v>4</v>
      </c>
      <c r="E144">
        <v>5</v>
      </c>
      <c r="F144">
        <f>Tabla2[[#This Row],[Score Best Ever]]/Tabla2[[#This Row],[Points Possible]]*100</f>
        <v>80</v>
      </c>
      <c r="G144">
        <v>3</v>
      </c>
      <c r="H144" t="s">
        <v>22</v>
      </c>
      <c r="I144" t="s">
        <v>13</v>
      </c>
      <c r="J144" t="s">
        <v>87</v>
      </c>
      <c r="K144" t="s">
        <v>15</v>
      </c>
    </row>
    <row r="145" spans="1:11" x14ac:dyDescent="0.25">
      <c r="A145" t="s">
        <v>86</v>
      </c>
      <c r="B145" t="s">
        <v>21</v>
      </c>
      <c r="C145">
        <v>4</v>
      </c>
      <c r="D145">
        <v>4</v>
      </c>
      <c r="E145">
        <v>5</v>
      </c>
      <c r="F145">
        <f>Tabla2[[#This Row],[Score Best Ever]]/Tabla2[[#This Row],[Points Possible]]*100</f>
        <v>80</v>
      </c>
      <c r="G145">
        <v>1</v>
      </c>
      <c r="H145" t="s">
        <v>47</v>
      </c>
      <c r="I145" t="s">
        <v>13</v>
      </c>
      <c r="J145" t="s">
        <v>87</v>
      </c>
      <c r="K145" t="s">
        <v>15</v>
      </c>
    </row>
    <row r="146" spans="1:11" x14ac:dyDescent="0.25">
      <c r="A146" t="s">
        <v>86</v>
      </c>
      <c r="B146" t="s">
        <v>23</v>
      </c>
      <c r="C146">
        <v>4</v>
      </c>
      <c r="D146">
        <v>5</v>
      </c>
      <c r="E146">
        <v>5</v>
      </c>
      <c r="F146">
        <f>Tabla2[[#This Row],[Score Best Ever]]/Tabla2[[#This Row],[Points Possible]]*100</f>
        <v>100</v>
      </c>
      <c r="G146">
        <v>3</v>
      </c>
      <c r="H146" t="s">
        <v>22</v>
      </c>
      <c r="I146" t="s">
        <v>13</v>
      </c>
      <c r="J146" t="s">
        <v>87</v>
      </c>
      <c r="K146" t="s">
        <v>15</v>
      </c>
    </row>
    <row r="147" spans="1:11" x14ac:dyDescent="0.25">
      <c r="A147" t="s">
        <v>86</v>
      </c>
      <c r="B147" t="s">
        <v>24</v>
      </c>
      <c r="C147">
        <v>4</v>
      </c>
      <c r="D147">
        <v>4</v>
      </c>
      <c r="E147">
        <v>5</v>
      </c>
      <c r="F147">
        <f>Tabla2[[#This Row],[Score Best Ever]]/Tabla2[[#This Row],[Points Possible]]*100</f>
        <v>80</v>
      </c>
      <c r="G147">
        <v>1</v>
      </c>
      <c r="H147" t="s">
        <v>47</v>
      </c>
      <c r="I147" t="s">
        <v>13</v>
      </c>
      <c r="J147" t="s">
        <v>87</v>
      </c>
      <c r="K147" t="s">
        <v>15</v>
      </c>
    </row>
    <row r="148" spans="1:11" x14ac:dyDescent="0.25">
      <c r="A148" t="s">
        <v>86</v>
      </c>
      <c r="B148" t="s">
        <v>27</v>
      </c>
      <c r="C148">
        <v>4</v>
      </c>
      <c r="D148">
        <v>4</v>
      </c>
      <c r="E148">
        <v>5</v>
      </c>
      <c r="F148">
        <f>Tabla2[[#This Row],[Score Best Ever]]/Tabla2[[#This Row],[Points Possible]]*100</f>
        <v>80</v>
      </c>
      <c r="G148">
        <v>1</v>
      </c>
      <c r="H148" t="s">
        <v>47</v>
      </c>
      <c r="I148" t="s">
        <v>13</v>
      </c>
      <c r="J148" t="s">
        <v>87</v>
      </c>
      <c r="K148" t="s">
        <v>15</v>
      </c>
    </row>
    <row r="149" spans="1:11" x14ac:dyDescent="0.25">
      <c r="A149" t="s">
        <v>86</v>
      </c>
      <c r="B149" t="s">
        <v>28</v>
      </c>
      <c r="C149">
        <v>4</v>
      </c>
      <c r="D149">
        <v>3</v>
      </c>
      <c r="E149">
        <v>5</v>
      </c>
      <c r="F149">
        <f>Tabla2[[#This Row],[Score Best Ever]]/Tabla2[[#This Row],[Points Possible]]*100</f>
        <v>60</v>
      </c>
      <c r="G149">
        <v>1</v>
      </c>
      <c r="H149" t="s">
        <v>25</v>
      </c>
      <c r="I149" t="s">
        <v>13</v>
      </c>
      <c r="J149" t="s">
        <v>87</v>
      </c>
      <c r="K149" t="s">
        <v>15</v>
      </c>
    </row>
    <row r="150" spans="1:11" x14ac:dyDescent="0.25">
      <c r="A150" t="s">
        <v>86</v>
      </c>
      <c r="B150" t="s">
        <v>30</v>
      </c>
      <c r="C150">
        <v>4</v>
      </c>
      <c r="D150">
        <v>3</v>
      </c>
      <c r="E150">
        <v>5</v>
      </c>
      <c r="F150">
        <f>Tabla2[[#This Row],[Score Best Ever]]/Tabla2[[#This Row],[Points Possible]]*100</f>
        <v>60</v>
      </c>
      <c r="G150">
        <v>1</v>
      </c>
      <c r="H150" t="s">
        <v>25</v>
      </c>
      <c r="I150" t="s">
        <v>13</v>
      </c>
      <c r="J150" t="s">
        <v>87</v>
      </c>
      <c r="K150" t="s">
        <v>15</v>
      </c>
    </row>
    <row r="151" spans="1:11" x14ac:dyDescent="0.25">
      <c r="A151" t="s">
        <v>86</v>
      </c>
      <c r="B151" t="s">
        <v>31</v>
      </c>
      <c r="C151">
        <v>4</v>
      </c>
      <c r="D151">
        <v>5</v>
      </c>
      <c r="E151">
        <v>5</v>
      </c>
      <c r="F151">
        <f>Tabla2[[#This Row],[Score Best Ever]]/Tabla2[[#This Row],[Points Possible]]*100</f>
        <v>100</v>
      </c>
      <c r="G151">
        <v>1</v>
      </c>
      <c r="H151" t="s">
        <v>47</v>
      </c>
      <c r="I151" t="s">
        <v>13</v>
      </c>
      <c r="J151" t="s">
        <v>87</v>
      </c>
      <c r="K151" t="s">
        <v>15</v>
      </c>
    </row>
    <row r="152" spans="1:11" x14ac:dyDescent="0.25">
      <c r="A152" t="s">
        <v>86</v>
      </c>
      <c r="B152" t="s">
        <v>35</v>
      </c>
      <c r="C152">
        <v>5</v>
      </c>
      <c r="D152">
        <v>3</v>
      </c>
      <c r="E152">
        <v>5</v>
      </c>
      <c r="F152">
        <f>Tabla2[[#This Row],[Score Best Ever]]/Tabla2[[#This Row],[Points Possible]]*100</f>
        <v>60</v>
      </c>
      <c r="G152">
        <v>6</v>
      </c>
      <c r="H152" t="s">
        <v>22</v>
      </c>
      <c r="I152" t="s">
        <v>13</v>
      </c>
      <c r="J152" t="s">
        <v>87</v>
      </c>
      <c r="K152" t="s">
        <v>15</v>
      </c>
    </row>
    <row r="153" spans="1:11" x14ac:dyDescent="0.25">
      <c r="A153" t="s">
        <v>86</v>
      </c>
      <c r="B153" t="s">
        <v>36</v>
      </c>
      <c r="C153">
        <v>4</v>
      </c>
      <c r="D153">
        <v>3</v>
      </c>
      <c r="E153">
        <v>5</v>
      </c>
      <c r="F153">
        <f>Tabla2[[#This Row],[Score Best Ever]]/Tabla2[[#This Row],[Points Possible]]*100</f>
        <v>60</v>
      </c>
      <c r="G153">
        <v>1</v>
      </c>
      <c r="H153" t="s">
        <v>47</v>
      </c>
      <c r="I153" t="s">
        <v>13</v>
      </c>
      <c r="J153" t="s">
        <v>87</v>
      </c>
      <c r="K153" t="s">
        <v>15</v>
      </c>
    </row>
    <row r="154" spans="1:11" x14ac:dyDescent="0.25">
      <c r="A154" t="s">
        <v>86</v>
      </c>
      <c r="B154" t="s">
        <v>37</v>
      </c>
      <c r="C154">
        <v>5</v>
      </c>
      <c r="D154">
        <v>4</v>
      </c>
      <c r="E154">
        <v>5</v>
      </c>
      <c r="F154">
        <f>Tabla2[[#This Row],[Score Best Ever]]/Tabla2[[#This Row],[Points Possible]]*100</f>
        <v>80</v>
      </c>
      <c r="G154">
        <v>5</v>
      </c>
      <c r="H154" t="s">
        <v>48</v>
      </c>
      <c r="I154" t="s">
        <v>13</v>
      </c>
      <c r="J154" t="s">
        <v>87</v>
      </c>
      <c r="K154" t="s">
        <v>15</v>
      </c>
    </row>
    <row r="155" spans="1:11" x14ac:dyDescent="0.25">
      <c r="A155" t="s">
        <v>86</v>
      </c>
      <c r="B155" t="s">
        <v>38</v>
      </c>
      <c r="C155">
        <v>4</v>
      </c>
      <c r="D155">
        <v>5</v>
      </c>
      <c r="E155">
        <v>5</v>
      </c>
      <c r="F155">
        <f>Tabla2[[#This Row],[Score Best Ever]]/Tabla2[[#This Row],[Points Possible]]*100</f>
        <v>100</v>
      </c>
      <c r="G155">
        <v>1</v>
      </c>
      <c r="H155" t="s">
        <v>47</v>
      </c>
      <c r="I155" t="s">
        <v>13</v>
      </c>
      <c r="J155" t="s">
        <v>87</v>
      </c>
      <c r="K155" t="s">
        <v>15</v>
      </c>
    </row>
    <row r="156" spans="1:11" x14ac:dyDescent="0.25">
      <c r="A156" t="s">
        <v>86</v>
      </c>
      <c r="B156" t="s">
        <v>40</v>
      </c>
      <c r="C156">
        <v>5</v>
      </c>
      <c r="D156">
        <v>4</v>
      </c>
      <c r="E156">
        <v>5</v>
      </c>
      <c r="F156">
        <f>Tabla2[[#This Row],[Score Best Ever]]/Tabla2[[#This Row],[Points Possible]]*100</f>
        <v>80</v>
      </c>
      <c r="G156">
        <v>3</v>
      </c>
      <c r="H156" t="s">
        <v>12</v>
      </c>
      <c r="I156" t="s">
        <v>13</v>
      </c>
      <c r="J156" t="s">
        <v>87</v>
      </c>
      <c r="K156" t="s">
        <v>15</v>
      </c>
    </row>
    <row r="157" spans="1:11" x14ac:dyDescent="0.25">
      <c r="A157" t="s">
        <v>86</v>
      </c>
      <c r="B157" t="s">
        <v>41</v>
      </c>
      <c r="C157">
        <v>5</v>
      </c>
      <c r="D157">
        <v>5</v>
      </c>
      <c r="E157">
        <v>5</v>
      </c>
      <c r="F157">
        <f>Tabla2[[#This Row],[Score Best Ever]]/Tabla2[[#This Row],[Points Possible]]*100</f>
        <v>100</v>
      </c>
      <c r="G157">
        <v>2</v>
      </c>
      <c r="H157" t="s">
        <v>12</v>
      </c>
      <c r="I157" t="s">
        <v>13</v>
      </c>
      <c r="J157" t="s">
        <v>87</v>
      </c>
      <c r="K157" t="s">
        <v>15</v>
      </c>
    </row>
    <row r="158" spans="1:11" x14ac:dyDescent="0.25">
      <c r="A158" t="s">
        <v>86</v>
      </c>
      <c r="B158" t="s">
        <v>42</v>
      </c>
      <c r="C158">
        <v>4</v>
      </c>
      <c r="D158">
        <v>5</v>
      </c>
      <c r="E158">
        <v>5</v>
      </c>
      <c r="F158">
        <f>Tabla2[[#This Row],[Score Best Ever]]/Tabla2[[#This Row],[Points Possible]]*100</f>
        <v>100</v>
      </c>
      <c r="G158">
        <v>1</v>
      </c>
      <c r="H158" t="s">
        <v>47</v>
      </c>
      <c r="I158" t="s">
        <v>13</v>
      </c>
      <c r="J158" t="s">
        <v>87</v>
      </c>
      <c r="K158" t="s">
        <v>15</v>
      </c>
    </row>
    <row r="159" spans="1:11" x14ac:dyDescent="0.25">
      <c r="A159" t="s">
        <v>86</v>
      </c>
      <c r="B159" t="s">
        <v>43</v>
      </c>
      <c r="C159">
        <v>4</v>
      </c>
      <c r="D159">
        <v>5</v>
      </c>
      <c r="E159">
        <v>5</v>
      </c>
      <c r="F159">
        <f>Tabla2[[#This Row],[Score Best Ever]]/Tabla2[[#This Row],[Points Possible]]*100</f>
        <v>100</v>
      </c>
      <c r="G159">
        <v>1</v>
      </c>
      <c r="H159" t="s">
        <v>47</v>
      </c>
      <c r="I159" t="s">
        <v>13</v>
      </c>
      <c r="J159" t="s">
        <v>87</v>
      </c>
      <c r="K159" t="s">
        <v>15</v>
      </c>
    </row>
    <row r="160" spans="1:11" x14ac:dyDescent="0.25">
      <c r="A160" t="s">
        <v>88</v>
      </c>
      <c r="B160" t="s">
        <v>11</v>
      </c>
      <c r="C160">
        <v>4</v>
      </c>
      <c r="D160">
        <v>9</v>
      </c>
      <c r="E160">
        <v>9</v>
      </c>
      <c r="F160">
        <f>Tabla2[[#This Row],[Score Best Ever]]/Tabla2[[#This Row],[Points Possible]]*100</f>
        <v>100</v>
      </c>
      <c r="G160">
        <v>1</v>
      </c>
      <c r="H160" t="s">
        <v>47</v>
      </c>
      <c r="I160" t="s">
        <v>13</v>
      </c>
      <c r="J160" t="s">
        <v>89</v>
      </c>
      <c r="K160" t="s">
        <v>58</v>
      </c>
    </row>
    <row r="161" spans="1:11" x14ac:dyDescent="0.25">
      <c r="A161" t="s">
        <v>88</v>
      </c>
      <c r="B161" t="s">
        <v>17</v>
      </c>
      <c r="D161">
        <v>7</v>
      </c>
      <c r="E161">
        <v>9</v>
      </c>
      <c r="F161">
        <f>Tabla2[[#This Row],[Score Best Ever]]/Tabla2[[#This Row],[Points Possible]]*100</f>
        <v>77.777777777777786</v>
      </c>
      <c r="G161">
        <v>0</v>
      </c>
      <c r="H161" t="s">
        <v>90</v>
      </c>
      <c r="I161" t="s">
        <v>13</v>
      </c>
      <c r="J161" t="s">
        <v>89</v>
      </c>
      <c r="K161" t="s">
        <v>58</v>
      </c>
    </row>
    <row r="162" spans="1:11" x14ac:dyDescent="0.25">
      <c r="A162" t="s">
        <v>88</v>
      </c>
      <c r="B162" t="s">
        <v>19</v>
      </c>
      <c r="C162">
        <v>4</v>
      </c>
      <c r="D162">
        <v>7</v>
      </c>
      <c r="E162">
        <v>9</v>
      </c>
      <c r="F162">
        <f>Tabla2[[#This Row],[Score Best Ever]]/Tabla2[[#This Row],[Points Possible]]*100</f>
        <v>77.777777777777786</v>
      </c>
      <c r="G162">
        <v>2</v>
      </c>
      <c r="H162" t="s">
        <v>18</v>
      </c>
      <c r="I162" t="s">
        <v>13</v>
      </c>
      <c r="J162" t="s">
        <v>89</v>
      </c>
      <c r="K162" t="s">
        <v>58</v>
      </c>
    </row>
    <row r="163" spans="1:11" x14ac:dyDescent="0.25">
      <c r="A163" t="s">
        <v>88</v>
      </c>
      <c r="B163" t="s">
        <v>21</v>
      </c>
      <c r="C163">
        <v>4</v>
      </c>
      <c r="D163">
        <v>4</v>
      </c>
      <c r="E163">
        <v>9</v>
      </c>
      <c r="F163">
        <f>Tabla2[[#This Row],[Score Best Ever]]/Tabla2[[#This Row],[Points Possible]]*100</f>
        <v>44.444444444444443</v>
      </c>
      <c r="G163">
        <v>1</v>
      </c>
      <c r="H163" t="s">
        <v>25</v>
      </c>
      <c r="I163" t="s">
        <v>13</v>
      </c>
      <c r="J163" t="s">
        <v>89</v>
      </c>
      <c r="K163" t="s">
        <v>58</v>
      </c>
    </row>
    <row r="164" spans="1:11" x14ac:dyDescent="0.25">
      <c r="A164" t="s">
        <v>88</v>
      </c>
      <c r="B164" t="s">
        <v>23</v>
      </c>
      <c r="C164">
        <v>5</v>
      </c>
      <c r="D164">
        <v>9</v>
      </c>
      <c r="E164">
        <v>9</v>
      </c>
      <c r="F164">
        <f>Tabla2[[#This Row],[Score Best Ever]]/Tabla2[[#This Row],[Points Possible]]*100</f>
        <v>100</v>
      </c>
      <c r="G164">
        <v>3</v>
      </c>
      <c r="H164" t="s">
        <v>50</v>
      </c>
      <c r="I164" t="s">
        <v>13</v>
      </c>
      <c r="J164" t="s">
        <v>89</v>
      </c>
      <c r="K164" t="s">
        <v>58</v>
      </c>
    </row>
    <row r="165" spans="1:11" x14ac:dyDescent="0.25">
      <c r="A165" t="s">
        <v>88</v>
      </c>
      <c r="B165" t="s">
        <v>24</v>
      </c>
      <c r="C165">
        <v>4</v>
      </c>
      <c r="D165">
        <v>6</v>
      </c>
      <c r="E165">
        <v>9</v>
      </c>
      <c r="F165">
        <f>Tabla2[[#This Row],[Score Best Ever]]/Tabla2[[#This Row],[Points Possible]]*100</f>
        <v>66.666666666666657</v>
      </c>
      <c r="G165">
        <v>1</v>
      </c>
      <c r="H165" t="s">
        <v>25</v>
      </c>
      <c r="I165" t="s">
        <v>13</v>
      </c>
      <c r="J165" t="s">
        <v>89</v>
      </c>
      <c r="K165" t="s">
        <v>58</v>
      </c>
    </row>
    <row r="166" spans="1:11" x14ac:dyDescent="0.25">
      <c r="A166" t="s">
        <v>88</v>
      </c>
      <c r="B166" t="s">
        <v>28</v>
      </c>
      <c r="C166">
        <v>4</v>
      </c>
      <c r="D166">
        <v>4</v>
      </c>
      <c r="E166">
        <v>9</v>
      </c>
      <c r="F166">
        <f>Tabla2[[#This Row],[Score Best Ever]]/Tabla2[[#This Row],[Points Possible]]*100</f>
        <v>44.444444444444443</v>
      </c>
      <c r="G166">
        <v>1</v>
      </c>
      <c r="H166" t="s">
        <v>47</v>
      </c>
      <c r="I166" t="s">
        <v>13</v>
      </c>
      <c r="J166" t="s">
        <v>89</v>
      </c>
      <c r="K166" t="s">
        <v>58</v>
      </c>
    </row>
    <row r="167" spans="1:11" x14ac:dyDescent="0.25">
      <c r="A167" t="s">
        <v>88</v>
      </c>
      <c r="B167" t="s">
        <v>30</v>
      </c>
      <c r="C167">
        <v>4</v>
      </c>
      <c r="D167">
        <v>4</v>
      </c>
      <c r="E167">
        <v>9</v>
      </c>
      <c r="F167">
        <f>Tabla2[[#This Row],[Score Best Ever]]/Tabla2[[#This Row],[Points Possible]]*100</f>
        <v>44.444444444444443</v>
      </c>
      <c r="G167">
        <v>1</v>
      </c>
      <c r="H167" t="s">
        <v>47</v>
      </c>
      <c r="I167" t="s">
        <v>13</v>
      </c>
      <c r="J167" t="s">
        <v>89</v>
      </c>
      <c r="K167" t="s">
        <v>58</v>
      </c>
    </row>
    <row r="168" spans="1:11" x14ac:dyDescent="0.25">
      <c r="A168" t="s">
        <v>88</v>
      </c>
      <c r="B168" t="s">
        <v>31</v>
      </c>
      <c r="C168">
        <v>4</v>
      </c>
      <c r="D168">
        <v>7</v>
      </c>
      <c r="E168">
        <v>9</v>
      </c>
      <c r="F168">
        <f>Tabla2[[#This Row],[Score Best Ever]]/Tabla2[[#This Row],[Points Possible]]*100</f>
        <v>77.777777777777786</v>
      </c>
      <c r="G168">
        <v>1</v>
      </c>
      <c r="H168" t="s">
        <v>25</v>
      </c>
      <c r="I168" t="s">
        <v>13</v>
      </c>
      <c r="J168" t="s">
        <v>89</v>
      </c>
      <c r="K168" t="s">
        <v>58</v>
      </c>
    </row>
    <row r="169" spans="1:11" x14ac:dyDescent="0.25">
      <c r="A169" t="s">
        <v>88</v>
      </c>
      <c r="B169" t="s">
        <v>35</v>
      </c>
      <c r="D169">
        <v>3</v>
      </c>
      <c r="E169">
        <v>9</v>
      </c>
      <c r="F169">
        <f>Tabla2[[#This Row],[Score Best Ever]]/Tabla2[[#This Row],[Points Possible]]*100</f>
        <v>33.333333333333329</v>
      </c>
      <c r="G169">
        <v>0</v>
      </c>
      <c r="H169" t="s">
        <v>91</v>
      </c>
      <c r="I169" t="s">
        <v>13</v>
      </c>
      <c r="J169" t="s">
        <v>89</v>
      </c>
      <c r="K169" t="s">
        <v>58</v>
      </c>
    </row>
    <row r="170" spans="1:11" x14ac:dyDescent="0.25">
      <c r="A170" t="s">
        <v>88</v>
      </c>
      <c r="B170" t="s">
        <v>37</v>
      </c>
      <c r="C170">
        <v>5</v>
      </c>
      <c r="D170">
        <v>7</v>
      </c>
      <c r="E170">
        <v>9</v>
      </c>
      <c r="F170">
        <f>Tabla2[[#This Row],[Score Best Ever]]/Tabla2[[#This Row],[Points Possible]]*100</f>
        <v>77.777777777777786</v>
      </c>
      <c r="G170">
        <v>6</v>
      </c>
      <c r="H170" t="s">
        <v>29</v>
      </c>
      <c r="I170" t="s">
        <v>13</v>
      </c>
      <c r="J170" t="s">
        <v>89</v>
      </c>
      <c r="K170" t="s">
        <v>58</v>
      </c>
    </row>
    <row r="171" spans="1:11" x14ac:dyDescent="0.25">
      <c r="A171" t="s">
        <v>88</v>
      </c>
      <c r="B171" t="s">
        <v>38</v>
      </c>
      <c r="C171">
        <v>5</v>
      </c>
      <c r="D171">
        <v>9</v>
      </c>
      <c r="E171">
        <v>9</v>
      </c>
      <c r="F171">
        <f>Tabla2[[#This Row],[Score Best Ever]]/Tabla2[[#This Row],[Points Possible]]*100</f>
        <v>100</v>
      </c>
      <c r="G171">
        <v>6</v>
      </c>
      <c r="H171" t="s">
        <v>50</v>
      </c>
      <c r="I171" t="s">
        <v>13</v>
      </c>
      <c r="J171" t="s">
        <v>89</v>
      </c>
      <c r="K171" t="s">
        <v>58</v>
      </c>
    </row>
    <row r="172" spans="1:11" x14ac:dyDescent="0.25">
      <c r="A172" t="s">
        <v>88</v>
      </c>
      <c r="B172" t="s">
        <v>40</v>
      </c>
      <c r="C172">
        <v>3</v>
      </c>
      <c r="D172">
        <v>8</v>
      </c>
      <c r="E172">
        <v>9</v>
      </c>
      <c r="F172">
        <f>Tabla2[[#This Row],[Score Best Ever]]/Tabla2[[#This Row],[Points Possible]]*100</f>
        <v>88.888888888888886</v>
      </c>
      <c r="G172">
        <v>1</v>
      </c>
      <c r="H172" t="s">
        <v>18</v>
      </c>
      <c r="I172" t="s">
        <v>13</v>
      </c>
      <c r="J172" t="s">
        <v>89</v>
      </c>
      <c r="K172" t="s">
        <v>58</v>
      </c>
    </row>
    <row r="173" spans="1:11" x14ac:dyDescent="0.25">
      <c r="A173" t="s">
        <v>88</v>
      </c>
      <c r="B173" t="s">
        <v>41</v>
      </c>
      <c r="C173">
        <v>4</v>
      </c>
      <c r="D173">
        <v>5</v>
      </c>
      <c r="E173">
        <v>9</v>
      </c>
      <c r="F173">
        <f>Tabla2[[#This Row],[Score Best Ever]]/Tabla2[[#This Row],[Points Possible]]*100</f>
        <v>55.555555555555557</v>
      </c>
      <c r="G173">
        <v>1</v>
      </c>
      <c r="H173" t="s">
        <v>47</v>
      </c>
      <c r="I173" t="s">
        <v>13</v>
      </c>
      <c r="J173" t="s">
        <v>89</v>
      </c>
      <c r="K173" t="s">
        <v>58</v>
      </c>
    </row>
    <row r="174" spans="1:11" x14ac:dyDescent="0.25">
      <c r="A174" t="s">
        <v>88</v>
      </c>
      <c r="B174" t="s">
        <v>42</v>
      </c>
      <c r="C174">
        <v>4</v>
      </c>
      <c r="D174">
        <v>8</v>
      </c>
      <c r="E174">
        <v>9</v>
      </c>
      <c r="F174">
        <f>Tabla2[[#This Row],[Score Best Ever]]/Tabla2[[#This Row],[Points Possible]]*100</f>
        <v>88.888888888888886</v>
      </c>
      <c r="G174">
        <v>2</v>
      </c>
      <c r="H174" t="s">
        <v>18</v>
      </c>
      <c r="I174" t="s">
        <v>13</v>
      </c>
      <c r="J174" t="s">
        <v>89</v>
      </c>
      <c r="K174" t="s">
        <v>58</v>
      </c>
    </row>
    <row r="175" spans="1:11" x14ac:dyDescent="0.25">
      <c r="A175" t="s">
        <v>88</v>
      </c>
      <c r="B175" t="s">
        <v>43</v>
      </c>
      <c r="C175">
        <v>5</v>
      </c>
      <c r="D175">
        <v>8</v>
      </c>
      <c r="E175">
        <v>9</v>
      </c>
      <c r="F175">
        <f>Tabla2[[#This Row],[Score Best Ever]]/Tabla2[[#This Row],[Points Possible]]*100</f>
        <v>88.888888888888886</v>
      </c>
      <c r="G175">
        <v>2</v>
      </c>
      <c r="H175" t="s">
        <v>12</v>
      </c>
      <c r="I175" t="s">
        <v>13</v>
      </c>
      <c r="J175" t="s">
        <v>89</v>
      </c>
      <c r="K175" t="s">
        <v>58</v>
      </c>
    </row>
    <row r="176" spans="1:11" x14ac:dyDescent="0.25">
      <c r="A176" t="s">
        <v>92</v>
      </c>
      <c r="B176" t="s">
        <v>11</v>
      </c>
      <c r="D176">
        <v>5</v>
      </c>
      <c r="E176">
        <v>5</v>
      </c>
      <c r="F176">
        <f>Tabla2[[#This Row],[Score Best Ever]]/Tabla2[[#This Row],[Points Possible]]*100</f>
        <v>100</v>
      </c>
      <c r="G176">
        <v>0</v>
      </c>
      <c r="H176" t="s">
        <v>93</v>
      </c>
      <c r="I176" t="s">
        <v>13</v>
      </c>
      <c r="J176" t="s">
        <v>94</v>
      </c>
      <c r="K176" t="s">
        <v>15</v>
      </c>
    </row>
    <row r="177" spans="1:11" x14ac:dyDescent="0.25">
      <c r="A177" t="s">
        <v>92</v>
      </c>
      <c r="B177" t="s">
        <v>17</v>
      </c>
      <c r="C177">
        <v>4</v>
      </c>
      <c r="D177">
        <v>5</v>
      </c>
      <c r="E177">
        <v>5</v>
      </c>
      <c r="F177">
        <f>Tabla2[[#This Row],[Score Best Ever]]/Tabla2[[#This Row],[Points Possible]]*100</f>
        <v>100</v>
      </c>
      <c r="G177">
        <v>4</v>
      </c>
      <c r="H177" t="s">
        <v>50</v>
      </c>
      <c r="I177" t="s">
        <v>13</v>
      </c>
      <c r="J177" t="s">
        <v>94</v>
      </c>
      <c r="K177" t="s">
        <v>15</v>
      </c>
    </row>
    <row r="178" spans="1:11" x14ac:dyDescent="0.25">
      <c r="A178" t="s">
        <v>92</v>
      </c>
      <c r="B178" t="s">
        <v>19</v>
      </c>
      <c r="C178">
        <v>4</v>
      </c>
      <c r="D178">
        <v>4</v>
      </c>
      <c r="E178">
        <v>5</v>
      </c>
      <c r="F178">
        <f>Tabla2[[#This Row],[Score Best Ever]]/Tabla2[[#This Row],[Points Possible]]*100</f>
        <v>80</v>
      </c>
      <c r="G178">
        <v>1</v>
      </c>
      <c r="H178" t="s">
        <v>47</v>
      </c>
      <c r="I178" t="s">
        <v>13</v>
      </c>
      <c r="J178" t="s">
        <v>94</v>
      </c>
      <c r="K178" t="s">
        <v>15</v>
      </c>
    </row>
    <row r="179" spans="1:11" x14ac:dyDescent="0.25">
      <c r="A179" t="s">
        <v>92</v>
      </c>
      <c r="B179" t="s">
        <v>21</v>
      </c>
      <c r="C179">
        <v>5</v>
      </c>
      <c r="D179">
        <v>2</v>
      </c>
      <c r="E179">
        <v>5</v>
      </c>
      <c r="F179">
        <f>Tabla2[[#This Row],[Score Best Ever]]/Tabla2[[#This Row],[Points Possible]]*100</f>
        <v>40</v>
      </c>
      <c r="G179">
        <v>1</v>
      </c>
      <c r="H179" t="s">
        <v>12</v>
      </c>
      <c r="I179" t="s">
        <v>13</v>
      </c>
      <c r="J179" t="s">
        <v>94</v>
      </c>
      <c r="K179" t="s">
        <v>15</v>
      </c>
    </row>
    <row r="180" spans="1:11" x14ac:dyDescent="0.25">
      <c r="A180" t="s">
        <v>92</v>
      </c>
      <c r="B180" t="s">
        <v>23</v>
      </c>
      <c r="C180">
        <v>3</v>
      </c>
      <c r="D180">
        <v>5</v>
      </c>
      <c r="E180">
        <v>5</v>
      </c>
      <c r="F180">
        <f>Tabla2[[#This Row],[Score Best Ever]]/Tabla2[[#This Row],[Points Possible]]*100</f>
        <v>100</v>
      </c>
      <c r="G180">
        <v>1</v>
      </c>
      <c r="H180" t="s">
        <v>18</v>
      </c>
      <c r="I180" t="s">
        <v>13</v>
      </c>
      <c r="J180" t="s">
        <v>94</v>
      </c>
      <c r="K180" t="s">
        <v>15</v>
      </c>
    </row>
    <row r="181" spans="1:11" x14ac:dyDescent="0.25">
      <c r="A181" t="s">
        <v>92</v>
      </c>
      <c r="B181" t="s">
        <v>24</v>
      </c>
      <c r="C181">
        <v>5</v>
      </c>
      <c r="D181">
        <v>4</v>
      </c>
      <c r="E181">
        <v>5</v>
      </c>
      <c r="F181">
        <f>Tabla2[[#This Row],[Score Best Ever]]/Tabla2[[#This Row],[Points Possible]]*100</f>
        <v>80</v>
      </c>
      <c r="G181">
        <v>1</v>
      </c>
      <c r="H181" t="s">
        <v>12</v>
      </c>
      <c r="I181" t="s">
        <v>13</v>
      </c>
      <c r="J181" t="s">
        <v>94</v>
      </c>
      <c r="K181" t="s">
        <v>15</v>
      </c>
    </row>
    <row r="182" spans="1:11" x14ac:dyDescent="0.25">
      <c r="A182" t="s">
        <v>92</v>
      </c>
      <c r="B182" t="s">
        <v>27</v>
      </c>
      <c r="C182">
        <v>5</v>
      </c>
      <c r="D182">
        <v>3</v>
      </c>
      <c r="E182">
        <v>5</v>
      </c>
      <c r="F182">
        <f>Tabla2[[#This Row],[Score Best Ever]]/Tabla2[[#This Row],[Points Possible]]*100</f>
        <v>60</v>
      </c>
      <c r="G182">
        <v>1</v>
      </c>
      <c r="H182" t="s">
        <v>12</v>
      </c>
      <c r="I182" t="s">
        <v>13</v>
      </c>
      <c r="J182" t="s">
        <v>94</v>
      </c>
      <c r="K182" t="s">
        <v>15</v>
      </c>
    </row>
    <row r="183" spans="1:11" x14ac:dyDescent="0.25">
      <c r="A183" t="s">
        <v>92</v>
      </c>
      <c r="B183" t="s">
        <v>30</v>
      </c>
      <c r="C183">
        <v>5</v>
      </c>
      <c r="D183">
        <v>1</v>
      </c>
      <c r="E183">
        <v>5</v>
      </c>
      <c r="F183">
        <f>Tabla2[[#This Row],[Score Best Ever]]/Tabla2[[#This Row],[Points Possible]]*100</f>
        <v>20</v>
      </c>
      <c r="G183">
        <v>3</v>
      </c>
      <c r="H183" t="s">
        <v>18</v>
      </c>
      <c r="I183" t="s">
        <v>13</v>
      </c>
      <c r="J183" t="s">
        <v>94</v>
      </c>
      <c r="K183" t="s">
        <v>15</v>
      </c>
    </row>
    <row r="184" spans="1:11" x14ac:dyDescent="0.25">
      <c r="A184" t="s">
        <v>92</v>
      </c>
      <c r="B184" t="s">
        <v>31</v>
      </c>
      <c r="C184">
        <v>5</v>
      </c>
      <c r="D184">
        <v>4</v>
      </c>
      <c r="E184">
        <v>5</v>
      </c>
      <c r="F184">
        <f>Tabla2[[#This Row],[Score Best Ever]]/Tabla2[[#This Row],[Points Possible]]*100</f>
        <v>80</v>
      </c>
      <c r="G184">
        <v>1</v>
      </c>
      <c r="H184" t="s">
        <v>12</v>
      </c>
      <c r="I184" t="s">
        <v>13</v>
      </c>
      <c r="J184" t="s">
        <v>94</v>
      </c>
      <c r="K184" t="s">
        <v>15</v>
      </c>
    </row>
    <row r="185" spans="1:11" x14ac:dyDescent="0.25">
      <c r="A185" t="s">
        <v>92</v>
      </c>
      <c r="B185" t="s">
        <v>35</v>
      </c>
      <c r="C185">
        <v>4</v>
      </c>
      <c r="D185">
        <v>2</v>
      </c>
      <c r="E185">
        <v>5</v>
      </c>
      <c r="F185">
        <f>Tabla2[[#This Row],[Score Best Ever]]/Tabla2[[#This Row],[Points Possible]]*100</f>
        <v>40</v>
      </c>
      <c r="G185">
        <v>1</v>
      </c>
      <c r="H185" t="s">
        <v>50</v>
      </c>
      <c r="I185" t="s">
        <v>13</v>
      </c>
      <c r="J185" t="s">
        <v>94</v>
      </c>
      <c r="K185" t="s">
        <v>15</v>
      </c>
    </row>
    <row r="186" spans="1:11" x14ac:dyDescent="0.25">
      <c r="A186" t="s">
        <v>92</v>
      </c>
      <c r="B186" t="s">
        <v>36</v>
      </c>
      <c r="C186">
        <v>5</v>
      </c>
      <c r="D186">
        <v>3</v>
      </c>
      <c r="E186">
        <v>5</v>
      </c>
      <c r="F186">
        <f>Tabla2[[#This Row],[Score Best Ever]]/Tabla2[[#This Row],[Points Possible]]*100</f>
        <v>60</v>
      </c>
      <c r="G186">
        <v>2</v>
      </c>
      <c r="H186" t="s">
        <v>12</v>
      </c>
      <c r="I186" t="s">
        <v>13</v>
      </c>
      <c r="J186" t="s">
        <v>94</v>
      </c>
      <c r="K186" t="s">
        <v>15</v>
      </c>
    </row>
    <row r="187" spans="1:11" x14ac:dyDescent="0.25">
      <c r="A187" t="s">
        <v>92</v>
      </c>
      <c r="B187" t="s">
        <v>37</v>
      </c>
      <c r="C187">
        <v>4</v>
      </c>
      <c r="D187">
        <v>5</v>
      </c>
      <c r="E187">
        <v>5</v>
      </c>
      <c r="F187">
        <f>Tabla2[[#This Row],[Score Best Ever]]/Tabla2[[#This Row],[Points Possible]]*100</f>
        <v>100</v>
      </c>
      <c r="G187">
        <v>2</v>
      </c>
      <c r="H187" t="s">
        <v>22</v>
      </c>
      <c r="I187" t="s">
        <v>13</v>
      </c>
      <c r="J187" t="s">
        <v>94</v>
      </c>
      <c r="K187" t="s">
        <v>15</v>
      </c>
    </row>
    <row r="188" spans="1:11" x14ac:dyDescent="0.25">
      <c r="A188" t="s">
        <v>92</v>
      </c>
      <c r="B188" t="s">
        <v>38</v>
      </c>
      <c r="C188">
        <v>5</v>
      </c>
      <c r="D188">
        <v>5</v>
      </c>
      <c r="E188">
        <v>5</v>
      </c>
      <c r="F188">
        <f>Tabla2[[#This Row],[Score Best Ever]]/Tabla2[[#This Row],[Points Possible]]*100</f>
        <v>100</v>
      </c>
      <c r="G188">
        <v>1</v>
      </c>
      <c r="H188" t="s">
        <v>53</v>
      </c>
      <c r="I188" t="s">
        <v>13</v>
      </c>
      <c r="J188" t="s">
        <v>94</v>
      </c>
      <c r="K188" t="s">
        <v>15</v>
      </c>
    </row>
    <row r="189" spans="1:11" x14ac:dyDescent="0.25">
      <c r="A189" t="s">
        <v>92</v>
      </c>
      <c r="B189" t="s">
        <v>40</v>
      </c>
      <c r="C189">
        <v>4</v>
      </c>
      <c r="D189">
        <v>5</v>
      </c>
      <c r="E189">
        <v>5</v>
      </c>
      <c r="F189">
        <f>Tabla2[[#This Row],[Score Best Ever]]/Tabla2[[#This Row],[Points Possible]]*100</f>
        <v>100</v>
      </c>
      <c r="G189">
        <v>1</v>
      </c>
      <c r="H189" t="s">
        <v>20</v>
      </c>
      <c r="I189" t="s">
        <v>13</v>
      </c>
      <c r="J189" t="s">
        <v>94</v>
      </c>
      <c r="K189" t="s">
        <v>15</v>
      </c>
    </row>
    <row r="190" spans="1:11" x14ac:dyDescent="0.25">
      <c r="A190" t="s">
        <v>92</v>
      </c>
      <c r="B190" t="s">
        <v>41</v>
      </c>
      <c r="D190">
        <v>3</v>
      </c>
      <c r="E190">
        <v>5</v>
      </c>
      <c r="F190">
        <f>Tabla2[[#This Row],[Score Best Ever]]/Tabla2[[#This Row],[Points Possible]]*100</f>
        <v>60</v>
      </c>
      <c r="G190">
        <v>0</v>
      </c>
      <c r="H190" t="s">
        <v>95</v>
      </c>
      <c r="I190" t="s">
        <v>13</v>
      </c>
      <c r="J190" t="s">
        <v>94</v>
      </c>
      <c r="K190" t="s">
        <v>15</v>
      </c>
    </row>
    <row r="191" spans="1:11" x14ac:dyDescent="0.25">
      <c r="A191" t="s">
        <v>92</v>
      </c>
      <c r="B191" t="s">
        <v>42</v>
      </c>
      <c r="C191">
        <v>5</v>
      </c>
      <c r="D191">
        <v>5</v>
      </c>
      <c r="E191">
        <v>5</v>
      </c>
      <c r="F191">
        <f>Tabla2[[#This Row],[Score Best Ever]]/Tabla2[[#This Row],[Points Possible]]*100</f>
        <v>100</v>
      </c>
      <c r="G191">
        <v>2</v>
      </c>
      <c r="H191" t="s">
        <v>12</v>
      </c>
      <c r="I191" t="s">
        <v>13</v>
      </c>
      <c r="J191" t="s">
        <v>94</v>
      </c>
      <c r="K191" t="s">
        <v>15</v>
      </c>
    </row>
    <row r="192" spans="1:11" x14ac:dyDescent="0.25">
      <c r="A192" t="s">
        <v>92</v>
      </c>
      <c r="B192" t="s">
        <v>43</v>
      </c>
      <c r="C192">
        <v>4</v>
      </c>
      <c r="D192">
        <v>5</v>
      </c>
      <c r="E192">
        <v>5</v>
      </c>
      <c r="F192">
        <f>Tabla2[[#This Row],[Score Best Ever]]/Tabla2[[#This Row],[Points Possible]]*100</f>
        <v>100</v>
      </c>
      <c r="G192">
        <v>2</v>
      </c>
      <c r="H192" t="s">
        <v>18</v>
      </c>
      <c r="I192" t="s">
        <v>13</v>
      </c>
      <c r="J192" t="s">
        <v>94</v>
      </c>
      <c r="K192" t="s">
        <v>15</v>
      </c>
    </row>
    <row r="193" spans="1:11" x14ac:dyDescent="0.25">
      <c r="A193" t="s">
        <v>96</v>
      </c>
      <c r="B193" t="s">
        <v>11</v>
      </c>
      <c r="C193">
        <v>5</v>
      </c>
      <c r="D193">
        <v>5</v>
      </c>
      <c r="E193">
        <v>5</v>
      </c>
      <c r="F193">
        <f>Tabla2[[#This Row],[Score Best Ever]]/Tabla2[[#This Row],[Points Possible]]*100</f>
        <v>100</v>
      </c>
      <c r="G193">
        <v>3</v>
      </c>
      <c r="H193" t="s">
        <v>12</v>
      </c>
      <c r="I193" t="s">
        <v>13</v>
      </c>
      <c r="J193" t="s">
        <v>97</v>
      </c>
      <c r="K193" t="s">
        <v>15</v>
      </c>
    </row>
    <row r="194" spans="1:11" x14ac:dyDescent="0.25">
      <c r="A194" t="s">
        <v>96</v>
      </c>
      <c r="B194" t="s">
        <v>17</v>
      </c>
      <c r="C194">
        <v>3</v>
      </c>
      <c r="D194">
        <v>5</v>
      </c>
      <c r="E194">
        <v>5</v>
      </c>
      <c r="F194">
        <f>Tabla2[[#This Row],[Score Best Ever]]/Tabla2[[#This Row],[Points Possible]]*100</f>
        <v>100</v>
      </c>
      <c r="G194">
        <v>1</v>
      </c>
      <c r="H194" t="s">
        <v>18</v>
      </c>
      <c r="I194" t="s">
        <v>13</v>
      </c>
      <c r="J194" t="s">
        <v>97</v>
      </c>
      <c r="K194" t="s">
        <v>15</v>
      </c>
    </row>
    <row r="195" spans="1:11" x14ac:dyDescent="0.25">
      <c r="A195" t="s">
        <v>96</v>
      </c>
      <c r="B195" t="s">
        <v>19</v>
      </c>
      <c r="C195">
        <v>4</v>
      </c>
      <c r="D195">
        <v>5</v>
      </c>
      <c r="E195">
        <v>5</v>
      </c>
      <c r="F195">
        <f>Tabla2[[#This Row],[Score Best Ever]]/Tabla2[[#This Row],[Points Possible]]*100</f>
        <v>100</v>
      </c>
      <c r="G195">
        <v>2</v>
      </c>
      <c r="H195" t="s">
        <v>25</v>
      </c>
      <c r="I195" t="s">
        <v>13</v>
      </c>
      <c r="J195" t="s">
        <v>97</v>
      </c>
      <c r="K195" t="s">
        <v>15</v>
      </c>
    </row>
    <row r="196" spans="1:11" x14ac:dyDescent="0.25">
      <c r="A196" t="s">
        <v>96</v>
      </c>
      <c r="B196" t="s">
        <v>21</v>
      </c>
      <c r="C196">
        <v>4</v>
      </c>
      <c r="D196">
        <v>3</v>
      </c>
      <c r="E196">
        <v>5</v>
      </c>
      <c r="F196">
        <f>Tabla2[[#This Row],[Score Best Ever]]/Tabla2[[#This Row],[Points Possible]]*100</f>
        <v>60</v>
      </c>
      <c r="G196">
        <v>1</v>
      </c>
      <c r="H196" t="s">
        <v>47</v>
      </c>
      <c r="I196" t="s">
        <v>13</v>
      </c>
      <c r="J196" t="s">
        <v>97</v>
      </c>
      <c r="K196" t="s">
        <v>15</v>
      </c>
    </row>
    <row r="197" spans="1:11" x14ac:dyDescent="0.25">
      <c r="A197" t="s">
        <v>96</v>
      </c>
      <c r="B197" t="s">
        <v>23</v>
      </c>
      <c r="C197">
        <v>4</v>
      </c>
      <c r="D197">
        <v>5</v>
      </c>
      <c r="E197">
        <v>5</v>
      </c>
      <c r="F197">
        <f>Tabla2[[#This Row],[Score Best Ever]]/Tabla2[[#This Row],[Points Possible]]*100</f>
        <v>100</v>
      </c>
      <c r="G197">
        <v>1</v>
      </c>
      <c r="H197" t="s">
        <v>47</v>
      </c>
      <c r="I197" t="s">
        <v>13</v>
      </c>
      <c r="J197" t="s">
        <v>97</v>
      </c>
      <c r="K197" t="s">
        <v>15</v>
      </c>
    </row>
    <row r="198" spans="1:11" x14ac:dyDescent="0.25">
      <c r="A198" t="s">
        <v>96</v>
      </c>
      <c r="B198" t="s">
        <v>24</v>
      </c>
      <c r="C198">
        <v>4</v>
      </c>
      <c r="D198">
        <v>4</v>
      </c>
      <c r="E198">
        <v>5</v>
      </c>
      <c r="F198">
        <f>Tabla2[[#This Row],[Score Best Ever]]/Tabla2[[#This Row],[Points Possible]]*100</f>
        <v>80</v>
      </c>
      <c r="G198">
        <v>1</v>
      </c>
      <c r="H198" t="s">
        <v>47</v>
      </c>
      <c r="I198" t="s">
        <v>13</v>
      </c>
      <c r="J198" t="s">
        <v>97</v>
      </c>
      <c r="K198" t="s">
        <v>15</v>
      </c>
    </row>
    <row r="199" spans="1:11" x14ac:dyDescent="0.25">
      <c r="A199" t="s">
        <v>96</v>
      </c>
      <c r="B199" t="s">
        <v>27</v>
      </c>
      <c r="C199">
        <v>4</v>
      </c>
      <c r="D199">
        <v>4</v>
      </c>
      <c r="E199">
        <v>5</v>
      </c>
      <c r="F199">
        <f>Tabla2[[#This Row],[Score Best Ever]]/Tabla2[[#This Row],[Points Possible]]*100</f>
        <v>80</v>
      </c>
      <c r="G199">
        <v>1</v>
      </c>
      <c r="H199" t="s">
        <v>47</v>
      </c>
      <c r="I199" t="s">
        <v>13</v>
      </c>
      <c r="J199" t="s">
        <v>97</v>
      </c>
      <c r="K199" t="s">
        <v>15</v>
      </c>
    </row>
    <row r="200" spans="1:11" x14ac:dyDescent="0.25">
      <c r="A200" t="s">
        <v>96</v>
      </c>
      <c r="B200" t="s">
        <v>28</v>
      </c>
      <c r="C200">
        <v>5</v>
      </c>
      <c r="D200">
        <v>5</v>
      </c>
      <c r="E200">
        <v>5</v>
      </c>
      <c r="F200">
        <f>Tabla2[[#This Row],[Score Best Ever]]/Tabla2[[#This Row],[Points Possible]]*100</f>
        <v>100</v>
      </c>
      <c r="G200">
        <v>3</v>
      </c>
      <c r="H200" t="s">
        <v>12</v>
      </c>
      <c r="I200" t="s">
        <v>13</v>
      </c>
      <c r="J200" t="s">
        <v>97</v>
      </c>
      <c r="K200" t="s">
        <v>15</v>
      </c>
    </row>
    <row r="201" spans="1:11" x14ac:dyDescent="0.25">
      <c r="A201" t="s">
        <v>96</v>
      </c>
      <c r="B201" t="s">
        <v>30</v>
      </c>
      <c r="C201">
        <v>4</v>
      </c>
      <c r="D201">
        <v>4</v>
      </c>
      <c r="E201">
        <v>5</v>
      </c>
      <c r="F201">
        <f>Tabla2[[#This Row],[Score Best Ever]]/Tabla2[[#This Row],[Points Possible]]*100</f>
        <v>80</v>
      </c>
      <c r="G201">
        <v>2</v>
      </c>
      <c r="H201" t="s">
        <v>25</v>
      </c>
      <c r="I201" t="s">
        <v>13</v>
      </c>
      <c r="J201" t="s">
        <v>97</v>
      </c>
      <c r="K201" t="s">
        <v>15</v>
      </c>
    </row>
    <row r="202" spans="1:11" x14ac:dyDescent="0.25">
      <c r="A202" t="s">
        <v>96</v>
      </c>
      <c r="B202" t="s">
        <v>31</v>
      </c>
      <c r="C202">
        <v>4</v>
      </c>
      <c r="D202">
        <v>5</v>
      </c>
      <c r="E202">
        <v>5</v>
      </c>
      <c r="F202">
        <f>Tabla2[[#This Row],[Score Best Ever]]/Tabla2[[#This Row],[Points Possible]]*100</f>
        <v>100</v>
      </c>
      <c r="G202">
        <v>2</v>
      </c>
      <c r="H202" t="s">
        <v>25</v>
      </c>
      <c r="I202" t="s">
        <v>13</v>
      </c>
      <c r="J202" t="s">
        <v>97</v>
      </c>
      <c r="K202" t="s">
        <v>15</v>
      </c>
    </row>
    <row r="203" spans="1:11" x14ac:dyDescent="0.25">
      <c r="A203" t="s">
        <v>96</v>
      </c>
      <c r="B203" t="s">
        <v>35</v>
      </c>
      <c r="C203">
        <v>5</v>
      </c>
      <c r="D203">
        <v>4</v>
      </c>
      <c r="E203">
        <v>5</v>
      </c>
      <c r="F203">
        <f>Tabla2[[#This Row],[Score Best Ever]]/Tabla2[[#This Row],[Points Possible]]*100</f>
        <v>80</v>
      </c>
      <c r="G203">
        <v>3</v>
      </c>
      <c r="H203" t="s">
        <v>12</v>
      </c>
      <c r="I203" t="s">
        <v>13</v>
      </c>
      <c r="J203" t="s">
        <v>97</v>
      </c>
      <c r="K203" t="s">
        <v>15</v>
      </c>
    </row>
    <row r="204" spans="1:11" x14ac:dyDescent="0.25">
      <c r="A204" t="s">
        <v>96</v>
      </c>
      <c r="B204" t="s">
        <v>36</v>
      </c>
      <c r="C204">
        <v>4</v>
      </c>
      <c r="D204">
        <v>4</v>
      </c>
      <c r="E204">
        <v>5</v>
      </c>
      <c r="F204">
        <f>Tabla2[[#This Row],[Score Best Ever]]/Tabla2[[#This Row],[Points Possible]]*100</f>
        <v>80</v>
      </c>
      <c r="G204">
        <v>1</v>
      </c>
      <c r="H204" t="s">
        <v>47</v>
      </c>
      <c r="I204" t="s">
        <v>13</v>
      </c>
      <c r="J204" t="s">
        <v>97</v>
      </c>
      <c r="K204" t="s">
        <v>15</v>
      </c>
    </row>
    <row r="205" spans="1:11" x14ac:dyDescent="0.25">
      <c r="A205" t="s">
        <v>96</v>
      </c>
      <c r="B205" t="s">
        <v>37</v>
      </c>
      <c r="C205">
        <v>4</v>
      </c>
      <c r="D205">
        <v>5</v>
      </c>
      <c r="E205">
        <v>5</v>
      </c>
      <c r="F205">
        <f>Tabla2[[#This Row],[Score Best Ever]]/Tabla2[[#This Row],[Points Possible]]*100</f>
        <v>100</v>
      </c>
      <c r="G205">
        <v>2</v>
      </c>
      <c r="H205" t="s">
        <v>25</v>
      </c>
      <c r="I205" t="s">
        <v>13</v>
      </c>
      <c r="J205" t="s">
        <v>97</v>
      </c>
      <c r="K205" t="s">
        <v>15</v>
      </c>
    </row>
    <row r="206" spans="1:11" x14ac:dyDescent="0.25">
      <c r="A206" t="s">
        <v>96</v>
      </c>
      <c r="B206" t="s">
        <v>38</v>
      </c>
      <c r="C206">
        <v>5</v>
      </c>
      <c r="D206">
        <v>5</v>
      </c>
      <c r="E206">
        <v>5</v>
      </c>
      <c r="F206">
        <f>Tabla2[[#This Row],[Score Best Ever]]/Tabla2[[#This Row],[Points Possible]]*100</f>
        <v>100</v>
      </c>
      <c r="G206">
        <v>3</v>
      </c>
      <c r="H206" t="s">
        <v>12</v>
      </c>
      <c r="I206" t="s">
        <v>13</v>
      </c>
      <c r="J206" t="s">
        <v>97</v>
      </c>
      <c r="K206" t="s">
        <v>15</v>
      </c>
    </row>
    <row r="207" spans="1:11" x14ac:dyDescent="0.25">
      <c r="A207" t="s">
        <v>96</v>
      </c>
      <c r="B207" t="s">
        <v>40</v>
      </c>
      <c r="C207">
        <v>4</v>
      </c>
      <c r="D207">
        <v>5</v>
      </c>
      <c r="E207">
        <v>5</v>
      </c>
      <c r="F207">
        <f>Tabla2[[#This Row],[Score Best Ever]]/Tabla2[[#This Row],[Points Possible]]*100</f>
        <v>100</v>
      </c>
      <c r="G207">
        <v>1</v>
      </c>
      <c r="H207" t="s">
        <v>47</v>
      </c>
      <c r="I207" t="s">
        <v>13</v>
      </c>
      <c r="J207" t="s">
        <v>97</v>
      </c>
      <c r="K207" t="s">
        <v>15</v>
      </c>
    </row>
    <row r="208" spans="1:11" x14ac:dyDescent="0.25">
      <c r="A208" t="s">
        <v>96</v>
      </c>
      <c r="B208" t="s">
        <v>41</v>
      </c>
      <c r="C208">
        <v>4</v>
      </c>
      <c r="D208">
        <v>4</v>
      </c>
      <c r="E208">
        <v>5</v>
      </c>
      <c r="F208">
        <f>Tabla2[[#This Row],[Score Best Ever]]/Tabla2[[#This Row],[Points Possible]]*100</f>
        <v>80</v>
      </c>
      <c r="G208">
        <v>1</v>
      </c>
      <c r="H208" t="s">
        <v>47</v>
      </c>
      <c r="I208" t="s">
        <v>13</v>
      </c>
      <c r="J208" t="s">
        <v>97</v>
      </c>
      <c r="K208" t="s">
        <v>15</v>
      </c>
    </row>
    <row r="209" spans="1:11" x14ac:dyDescent="0.25">
      <c r="A209" t="s">
        <v>96</v>
      </c>
      <c r="B209" t="s">
        <v>42</v>
      </c>
      <c r="C209">
        <v>4</v>
      </c>
      <c r="D209">
        <v>5</v>
      </c>
      <c r="E209">
        <v>5</v>
      </c>
      <c r="F209">
        <f>Tabla2[[#This Row],[Score Best Ever]]/Tabla2[[#This Row],[Points Possible]]*100</f>
        <v>100</v>
      </c>
      <c r="G209">
        <v>1</v>
      </c>
      <c r="H209" t="s">
        <v>47</v>
      </c>
      <c r="I209" t="s">
        <v>13</v>
      </c>
      <c r="J209" t="s">
        <v>97</v>
      </c>
      <c r="K209" t="s">
        <v>15</v>
      </c>
    </row>
    <row r="210" spans="1:11" x14ac:dyDescent="0.25">
      <c r="A210" t="s">
        <v>96</v>
      </c>
      <c r="B210" t="s">
        <v>43</v>
      </c>
      <c r="C210">
        <v>5</v>
      </c>
      <c r="D210">
        <v>5</v>
      </c>
      <c r="E210">
        <v>5</v>
      </c>
      <c r="F210">
        <f>Tabla2[[#This Row],[Score Best Ever]]/Tabla2[[#This Row],[Points Possible]]*100</f>
        <v>100</v>
      </c>
      <c r="G210">
        <v>3</v>
      </c>
      <c r="H210" t="s">
        <v>12</v>
      </c>
      <c r="I210" t="s">
        <v>13</v>
      </c>
      <c r="J210" t="s">
        <v>97</v>
      </c>
      <c r="K210" t="s">
        <v>15</v>
      </c>
    </row>
    <row r="211" spans="1:11" x14ac:dyDescent="0.25">
      <c r="A211" t="s">
        <v>98</v>
      </c>
      <c r="B211" t="s">
        <v>11</v>
      </c>
      <c r="C211">
        <v>4</v>
      </c>
      <c r="D211">
        <v>5</v>
      </c>
      <c r="E211">
        <v>6</v>
      </c>
      <c r="F211">
        <f>Tabla2[[#This Row],[Score Best Ever]]/Tabla2[[#This Row],[Points Possible]]*100</f>
        <v>83.333333333333343</v>
      </c>
      <c r="G211">
        <v>2</v>
      </c>
      <c r="H211" t="s">
        <v>25</v>
      </c>
      <c r="I211" t="s">
        <v>13</v>
      </c>
      <c r="J211" t="s">
        <v>99</v>
      </c>
      <c r="K211" t="s">
        <v>15</v>
      </c>
    </row>
    <row r="212" spans="1:11" x14ac:dyDescent="0.25">
      <c r="A212" t="s">
        <v>98</v>
      </c>
      <c r="B212" t="s">
        <v>17</v>
      </c>
      <c r="C212">
        <v>4</v>
      </c>
      <c r="D212">
        <v>6</v>
      </c>
      <c r="E212">
        <v>6</v>
      </c>
      <c r="F212">
        <f>Tabla2[[#This Row],[Score Best Ever]]/Tabla2[[#This Row],[Points Possible]]*100</f>
        <v>100</v>
      </c>
      <c r="G212">
        <v>1</v>
      </c>
      <c r="H212" t="s">
        <v>47</v>
      </c>
      <c r="I212" t="s">
        <v>13</v>
      </c>
      <c r="J212" t="s">
        <v>99</v>
      </c>
      <c r="K212" t="s">
        <v>15</v>
      </c>
    </row>
    <row r="213" spans="1:11" x14ac:dyDescent="0.25">
      <c r="A213" t="s">
        <v>98</v>
      </c>
      <c r="B213" t="s">
        <v>19</v>
      </c>
      <c r="C213">
        <v>4</v>
      </c>
      <c r="D213">
        <v>6</v>
      </c>
      <c r="E213">
        <v>6</v>
      </c>
      <c r="F213">
        <f>Tabla2[[#This Row],[Score Best Ever]]/Tabla2[[#This Row],[Points Possible]]*100</f>
        <v>100</v>
      </c>
      <c r="G213">
        <v>1</v>
      </c>
      <c r="H213" t="s">
        <v>25</v>
      </c>
      <c r="I213" t="s">
        <v>13</v>
      </c>
      <c r="J213" t="s">
        <v>99</v>
      </c>
      <c r="K213" t="s">
        <v>15</v>
      </c>
    </row>
    <row r="214" spans="1:11" x14ac:dyDescent="0.25">
      <c r="A214" t="s">
        <v>98</v>
      </c>
      <c r="B214" t="s">
        <v>21</v>
      </c>
      <c r="C214">
        <v>4</v>
      </c>
      <c r="D214">
        <v>6</v>
      </c>
      <c r="E214">
        <v>6</v>
      </c>
      <c r="F214">
        <f>Tabla2[[#This Row],[Score Best Ever]]/Tabla2[[#This Row],[Points Possible]]*100</f>
        <v>100</v>
      </c>
      <c r="G214">
        <v>1</v>
      </c>
      <c r="H214" t="s">
        <v>47</v>
      </c>
      <c r="I214" t="s">
        <v>13</v>
      </c>
      <c r="J214" t="s">
        <v>99</v>
      </c>
      <c r="K214" t="s">
        <v>15</v>
      </c>
    </row>
    <row r="215" spans="1:11" x14ac:dyDescent="0.25">
      <c r="A215" t="s">
        <v>98</v>
      </c>
      <c r="B215" t="s">
        <v>23</v>
      </c>
      <c r="C215">
        <v>5</v>
      </c>
      <c r="D215">
        <v>6</v>
      </c>
      <c r="E215">
        <v>6</v>
      </c>
      <c r="F215">
        <f>Tabla2[[#This Row],[Score Best Ever]]/Tabla2[[#This Row],[Points Possible]]*100</f>
        <v>100</v>
      </c>
      <c r="G215">
        <v>3</v>
      </c>
      <c r="H215" t="s">
        <v>12</v>
      </c>
      <c r="I215" t="s">
        <v>13</v>
      </c>
      <c r="J215" t="s">
        <v>99</v>
      </c>
      <c r="K215" t="s">
        <v>15</v>
      </c>
    </row>
    <row r="216" spans="1:11" x14ac:dyDescent="0.25">
      <c r="A216" t="s">
        <v>98</v>
      </c>
      <c r="B216" t="s">
        <v>24</v>
      </c>
      <c r="C216">
        <v>4</v>
      </c>
      <c r="D216">
        <v>6</v>
      </c>
      <c r="E216">
        <v>6</v>
      </c>
      <c r="F216">
        <f>Tabla2[[#This Row],[Score Best Ever]]/Tabla2[[#This Row],[Points Possible]]*100</f>
        <v>100</v>
      </c>
      <c r="G216">
        <v>1</v>
      </c>
      <c r="H216" t="s">
        <v>47</v>
      </c>
      <c r="I216" t="s">
        <v>13</v>
      </c>
      <c r="J216" t="s">
        <v>99</v>
      </c>
      <c r="K216" t="s">
        <v>15</v>
      </c>
    </row>
    <row r="217" spans="1:11" x14ac:dyDescent="0.25">
      <c r="A217" t="s">
        <v>98</v>
      </c>
      <c r="B217" t="s">
        <v>27</v>
      </c>
      <c r="C217">
        <v>4</v>
      </c>
      <c r="D217">
        <v>4</v>
      </c>
      <c r="E217">
        <v>6</v>
      </c>
      <c r="F217">
        <f>Tabla2[[#This Row],[Score Best Ever]]/Tabla2[[#This Row],[Points Possible]]*100</f>
        <v>66.666666666666657</v>
      </c>
      <c r="G217">
        <v>1</v>
      </c>
      <c r="H217" t="s">
        <v>25</v>
      </c>
      <c r="I217" t="s">
        <v>13</v>
      </c>
      <c r="J217" t="s">
        <v>99</v>
      </c>
      <c r="K217" t="s">
        <v>15</v>
      </c>
    </row>
    <row r="218" spans="1:11" x14ac:dyDescent="0.25">
      <c r="A218" t="s">
        <v>98</v>
      </c>
      <c r="B218" t="s">
        <v>28</v>
      </c>
      <c r="C218">
        <v>4</v>
      </c>
      <c r="D218">
        <v>6</v>
      </c>
      <c r="E218">
        <v>6</v>
      </c>
      <c r="F218">
        <f>Tabla2[[#This Row],[Score Best Ever]]/Tabla2[[#This Row],[Points Possible]]*100</f>
        <v>100</v>
      </c>
      <c r="G218">
        <v>4</v>
      </c>
      <c r="H218" t="s">
        <v>18</v>
      </c>
      <c r="I218" t="s">
        <v>13</v>
      </c>
      <c r="J218" t="s">
        <v>99</v>
      </c>
      <c r="K218" t="s">
        <v>15</v>
      </c>
    </row>
    <row r="219" spans="1:11" x14ac:dyDescent="0.25">
      <c r="A219" t="s">
        <v>98</v>
      </c>
      <c r="B219" t="s">
        <v>30</v>
      </c>
      <c r="C219">
        <v>4</v>
      </c>
      <c r="D219">
        <v>5</v>
      </c>
      <c r="E219">
        <v>6</v>
      </c>
      <c r="F219">
        <f>Tabla2[[#This Row],[Score Best Ever]]/Tabla2[[#This Row],[Points Possible]]*100</f>
        <v>83.333333333333343</v>
      </c>
      <c r="G219">
        <v>1</v>
      </c>
      <c r="H219" t="s">
        <v>47</v>
      </c>
      <c r="I219" t="s">
        <v>13</v>
      </c>
      <c r="J219" t="s">
        <v>99</v>
      </c>
      <c r="K219" t="s">
        <v>15</v>
      </c>
    </row>
    <row r="220" spans="1:11" x14ac:dyDescent="0.25">
      <c r="A220" t="s">
        <v>98</v>
      </c>
      <c r="B220" t="s">
        <v>31</v>
      </c>
      <c r="C220">
        <v>4</v>
      </c>
      <c r="D220">
        <v>6</v>
      </c>
      <c r="E220">
        <v>6</v>
      </c>
      <c r="F220">
        <f>Tabla2[[#This Row],[Score Best Ever]]/Tabla2[[#This Row],[Points Possible]]*100</f>
        <v>100</v>
      </c>
      <c r="G220">
        <v>1</v>
      </c>
      <c r="H220" t="s">
        <v>47</v>
      </c>
      <c r="I220" t="s">
        <v>13</v>
      </c>
      <c r="J220" t="s">
        <v>99</v>
      </c>
      <c r="K220" t="s">
        <v>15</v>
      </c>
    </row>
    <row r="221" spans="1:11" x14ac:dyDescent="0.25">
      <c r="A221" t="s">
        <v>98</v>
      </c>
      <c r="B221" t="s">
        <v>35</v>
      </c>
      <c r="C221">
        <v>5</v>
      </c>
      <c r="D221">
        <v>4</v>
      </c>
      <c r="E221">
        <v>6</v>
      </c>
      <c r="F221">
        <f>Tabla2[[#This Row],[Score Best Ever]]/Tabla2[[#This Row],[Points Possible]]*100</f>
        <v>66.666666666666657</v>
      </c>
      <c r="G221">
        <v>3</v>
      </c>
      <c r="H221" t="s">
        <v>12</v>
      </c>
      <c r="I221" t="s">
        <v>13</v>
      </c>
      <c r="J221" t="s">
        <v>99</v>
      </c>
      <c r="K221" t="s">
        <v>15</v>
      </c>
    </row>
    <row r="222" spans="1:11" x14ac:dyDescent="0.25">
      <c r="A222" t="s">
        <v>98</v>
      </c>
      <c r="B222" t="s">
        <v>36</v>
      </c>
      <c r="C222">
        <v>4</v>
      </c>
      <c r="D222">
        <v>6</v>
      </c>
      <c r="E222">
        <v>6</v>
      </c>
      <c r="F222">
        <f>Tabla2[[#This Row],[Score Best Ever]]/Tabla2[[#This Row],[Points Possible]]*100</f>
        <v>100</v>
      </c>
      <c r="G222">
        <v>1</v>
      </c>
      <c r="H222" t="s">
        <v>47</v>
      </c>
      <c r="I222" t="s">
        <v>13</v>
      </c>
      <c r="J222" t="s">
        <v>99</v>
      </c>
      <c r="K222" t="s">
        <v>15</v>
      </c>
    </row>
    <row r="223" spans="1:11" x14ac:dyDescent="0.25">
      <c r="A223" t="s">
        <v>98</v>
      </c>
      <c r="B223" t="s">
        <v>37</v>
      </c>
      <c r="C223">
        <v>5</v>
      </c>
      <c r="D223">
        <v>6</v>
      </c>
      <c r="E223">
        <v>6</v>
      </c>
      <c r="F223">
        <f>Tabla2[[#This Row],[Score Best Ever]]/Tabla2[[#This Row],[Points Possible]]*100</f>
        <v>100</v>
      </c>
      <c r="G223">
        <v>3</v>
      </c>
      <c r="H223" t="s">
        <v>44</v>
      </c>
      <c r="I223" t="s">
        <v>13</v>
      </c>
      <c r="J223" t="s">
        <v>99</v>
      </c>
      <c r="K223" t="s">
        <v>15</v>
      </c>
    </row>
    <row r="224" spans="1:11" x14ac:dyDescent="0.25">
      <c r="A224" t="s">
        <v>98</v>
      </c>
      <c r="B224" t="s">
        <v>38</v>
      </c>
      <c r="C224">
        <v>4</v>
      </c>
      <c r="D224">
        <v>6</v>
      </c>
      <c r="E224">
        <v>6</v>
      </c>
      <c r="F224">
        <f>Tabla2[[#This Row],[Score Best Ever]]/Tabla2[[#This Row],[Points Possible]]*100</f>
        <v>100</v>
      </c>
      <c r="G224">
        <v>1</v>
      </c>
      <c r="H224" t="s">
        <v>47</v>
      </c>
      <c r="I224" t="s">
        <v>13</v>
      </c>
      <c r="J224" t="s">
        <v>99</v>
      </c>
      <c r="K224" t="s">
        <v>15</v>
      </c>
    </row>
    <row r="225" spans="1:11" x14ac:dyDescent="0.25">
      <c r="A225" t="s">
        <v>98</v>
      </c>
      <c r="B225" t="s">
        <v>40</v>
      </c>
      <c r="C225">
        <v>4</v>
      </c>
      <c r="D225">
        <v>6</v>
      </c>
      <c r="E225">
        <v>6</v>
      </c>
      <c r="F225">
        <f>Tabla2[[#This Row],[Score Best Ever]]/Tabla2[[#This Row],[Points Possible]]*100</f>
        <v>100</v>
      </c>
      <c r="G225">
        <v>1</v>
      </c>
      <c r="H225" t="s">
        <v>47</v>
      </c>
      <c r="I225" t="s">
        <v>13</v>
      </c>
      <c r="J225" t="s">
        <v>99</v>
      </c>
      <c r="K225" t="s">
        <v>15</v>
      </c>
    </row>
    <row r="226" spans="1:11" x14ac:dyDescent="0.25">
      <c r="A226" t="s">
        <v>98</v>
      </c>
      <c r="B226" t="s">
        <v>41</v>
      </c>
      <c r="C226">
        <v>4</v>
      </c>
      <c r="D226">
        <v>5</v>
      </c>
      <c r="E226">
        <v>6</v>
      </c>
      <c r="F226">
        <f>Tabla2[[#This Row],[Score Best Ever]]/Tabla2[[#This Row],[Points Possible]]*100</f>
        <v>83.333333333333343</v>
      </c>
      <c r="G226">
        <v>1</v>
      </c>
      <c r="H226" t="s">
        <v>47</v>
      </c>
      <c r="I226" t="s">
        <v>13</v>
      </c>
      <c r="J226" t="s">
        <v>99</v>
      </c>
      <c r="K226" t="s">
        <v>15</v>
      </c>
    </row>
    <row r="227" spans="1:11" x14ac:dyDescent="0.25">
      <c r="A227" t="s">
        <v>98</v>
      </c>
      <c r="B227" t="s">
        <v>42</v>
      </c>
      <c r="C227">
        <v>4</v>
      </c>
      <c r="D227">
        <v>6</v>
      </c>
      <c r="E227">
        <v>6</v>
      </c>
      <c r="F227">
        <f>Tabla2[[#This Row],[Score Best Ever]]/Tabla2[[#This Row],[Points Possible]]*100</f>
        <v>100</v>
      </c>
      <c r="G227">
        <v>1</v>
      </c>
      <c r="H227" t="s">
        <v>47</v>
      </c>
      <c r="I227" t="s">
        <v>13</v>
      </c>
      <c r="J227" t="s">
        <v>99</v>
      </c>
      <c r="K227" t="s">
        <v>15</v>
      </c>
    </row>
    <row r="228" spans="1:11" x14ac:dyDescent="0.25">
      <c r="A228" t="s">
        <v>98</v>
      </c>
      <c r="B228" t="s">
        <v>43</v>
      </c>
      <c r="C228">
        <v>4</v>
      </c>
      <c r="D228">
        <v>6</v>
      </c>
      <c r="E228">
        <v>6</v>
      </c>
      <c r="F228">
        <f>Tabla2[[#This Row],[Score Best Ever]]/Tabla2[[#This Row],[Points Possible]]*100</f>
        <v>100</v>
      </c>
      <c r="G228">
        <v>1</v>
      </c>
      <c r="H228" t="s">
        <v>47</v>
      </c>
      <c r="I228" t="s">
        <v>13</v>
      </c>
      <c r="J228" t="s">
        <v>99</v>
      </c>
      <c r="K228" t="s">
        <v>15</v>
      </c>
    </row>
    <row r="229" spans="1:11" x14ac:dyDescent="0.25">
      <c r="A229" t="s">
        <v>100</v>
      </c>
      <c r="B229" t="s">
        <v>11</v>
      </c>
      <c r="C229">
        <v>4</v>
      </c>
      <c r="D229">
        <v>4</v>
      </c>
      <c r="E229">
        <v>5</v>
      </c>
      <c r="F229">
        <f>Tabla2[[#This Row],[Score Best Ever]]/Tabla2[[#This Row],[Points Possible]]*100</f>
        <v>80</v>
      </c>
      <c r="G229">
        <v>2</v>
      </c>
      <c r="H229" t="s">
        <v>18</v>
      </c>
      <c r="I229" t="s">
        <v>13</v>
      </c>
      <c r="J229" t="s">
        <v>101</v>
      </c>
      <c r="K229" t="s">
        <v>15</v>
      </c>
    </row>
    <row r="230" spans="1:11" x14ac:dyDescent="0.25">
      <c r="A230" t="s">
        <v>100</v>
      </c>
      <c r="B230" t="s">
        <v>17</v>
      </c>
      <c r="C230">
        <v>4</v>
      </c>
      <c r="D230">
        <v>5</v>
      </c>
      <c r="E230">
        <v>5</v>
      </c>
      <c r="F230">
        <f>Tabla2[[#This Row],[Score Best Ever]]/Tabla2[[#This Row],[Points Possible]]*100</f>
        <v>100</v>
      </c>
      <c r="G230">
        <v>2</v>
      </c>
      <c r="H230" t="s">
        <v>18</v>
      </c>
      <c r="I230" t="s">
        <v>13</v>
      </c>
      <c r="J230" t="s">
        <v>101</v>
      </c>
      <c r="K230" t="s">
        <v>15</v>
      </c>
    </row>
    <row r="231" spans="1:11" x14ac:dyDescent="0.25">
      <c r="A231" t="s">
        <v>100</v>
      </c>
      <c r="B231" t="s">
        <v>19</v>
      </c>
      <c r="C231">
        <v>5</v>
      </c>
      <c r="D231">
        <v>5</v>
      </c>
      <c r="E231">
        <v>5</v>
      </c>
      <c r="F231">
        <f>Tabla2[[#This Row],[Score Best Ever]]/Tabla2[[#This Row],[Points Possible]]*100</f>
        <v>100</v>
      </c>
      <c r="G231">
        <v>4</v>
      </c>
      <c r="H231" t="s">
        <v>44</v>
      </c>
      <c r="I231" t="s">
        <v>13</v>
      </c>
      <c r="J231" t="s">
        <v>101</v>
      </c>
      <c r="K231" t="s">
        <v>15</v>
      </c>
    </row>
    <row r="232" spans="1:11" x14ac:dyDescent="0.25">
      <c r="A232" t="s">
        <v>100</v>
      </c>
      <c r="B232" t="s">
        <v>21</v>
      </c>
      <c r="D232">
        <v>3</v>
      </c>
      <c r="E232">
        <v>5</v>
      </c>
      <c r="F232">
        <f>Tabla2[[#This Row],[Score Best Ever]]/Tabla2[[#This Row],[Points Possible]]*100</f>
        <v>60</v>
      </c>
      <c r="G232">
        <v>0</v>
      </c>
      <c r="H232" t="s">
        <v>102</v>
      </c>
      <c r="I232" t="s">
        <v>13</v>
      </c>
      <c r="J232" t="s">
        <v>101</v>
      </c>
      <c r="K232" t="s">
        <v>15</v>
      </c>
    </row>
    <row r="233" spans="1:11" x14ac:dyDescent="0.25">
      <c r="A233" t="s">
        <v>100</v>
      </c>
      <c r="B233" t="s">
        <v>23</v>
      </c>
      <c r="C233">
        <v>5</v>
      </c>
      <c r="D233">
        <v>5</v>
      </c>
      <c r="E233">
        <v>5</v>
      </c>
      <c r="F233">
        <f>Tabla2[[#This Row],[Score Best Ever]]/Tabla2[[#This Row],[Points Possible]]*100</f>
        <v>100</v>
      </c>
      <c r="G233">
        <v>2</v>
      </c>
      <c r="H233" t="s">
        <v>20</v>
      </c>
      <c r="I233" t="s">
        <v>13</v>
      </c>
      <c r="J233" t="s">
        <v>101</v>
      </c>
      <c r="K233" t="s">
        <v>15</v>
      </c>
    </row>
    <row r="234" spans="1:11" x14ac:dyDescent="0.25">
      <c r="A234" t="s">
        <v>100</v>
      </c>
      <c r="B234" t="s">
        <v>24</v>
      </c>
      <c r="D234">
        <v>5</v>
      </c>
      <c r="E234">
        <v>5</v>
      </c>
      <c r="F234">
        <f>Tabla2[[#This Row],[Score Best Ever]]/Tabla2[[#This Row],[Points Possible]]*100</f>
        <v>100</v>
      </c>
      <c r="G234">
        <v>0</v>
      </c>
      <c r="H234" t="s">
        <v>103</v>
      </c>
      <c r="I234" t="s">
        <v>13</v>
      </c>
      <c r="J234" t="s">
        <v>101</v>
      </c>
      <c r="K234" t="s">
        <v>15</v>
      </c>
    </row>
    <row r="235" spans="1:11" x14ac:dyDescent="0.25">
      <c r="A235" t="s">
        <v>100</v>
      </c>
      <c r="B235" t="s">
        <v>27</v>
      </c>
      <c r="C235">
        <v>4</v>
      </c>
      <c r="D235">
        <v>4</v>
      </c>
      <c r="E235">
        <v>5</v>
      </c>
      <c r="F235">
        <f>Tabla2[[#This Row],[Score Best Ever]]/Tabla2[[#This Row],[Points Possible]]*100</f>
        <v>80</v>
      </c>
      <c r="G235">
        <v>1</v>
      </c>
      <c r="H235" t="s">
        <v>25</v>
      </c>
      <c r="I235" t="s">
        <v>13</v>
      </c>
      <c r="J235" t="s">
        <v>101</v>
      </c>
      <c r="K235" t="s">
        <v>15</v>
      </c>
    </row>
    <row r="236" spans="1:11" x14ac:dyDescent="0.25">
      <c r="A236" t="s">
        <v>100</v>
      </c>
      <c r="B236" t="s">
        <v>28</v>
      </c>
      <c r="C236">
        <v>3</v>
      </c>
      <c r="D236">
        <v>5</v>
      </c>
      <c r="E236">
        <v>5</v>
      </c>
      <c r="F236">
        <f>Tabla2[[#This Row],[Score Best Ever]]/Tabla2[[#This Row],[Points Possible]]*100</f>
        <v>100</v>
      </c>
      <c r="G236">
        <v>1</v>
      </c>
      <c r="H236" t="s">
        <v>18</v>
      </c>
      <c r="I236" t="s">
        <v>13</v>
      </c>
      <c r="J236" t="s">
        <v>101</v>
      </c>
      <c r="K236" t="s">
        <v>15</v>
      </c>
    </row>
    <row r="237" spans="1:11" x14ac:dyDescent="0.25">
      <c r="A237" t="s">
        <v>100</v>
      </c>
      <c r="B237" t="s">
        <v>30</v>
      </c>
      <c r="C237">
        <v>4</v>
      </c>
      <c r="D237">
        <v>4</v>
      </c>
      <c r="E237">
        <v>5</v>
      </c>
      <c r="F237">
        <f>Tabla2[[#This Row],[Score Best Ever]]/Tabla2[[#This Row],[Points Possible]]*100</f>
        <v>80</v>
      </c>
      <c r="G237">
        <v>1</v>
      </c>
      <c r="H237" t="s">
        <v>20</v>
      </c>
      <c r="I237" t="s">
        <v>13</v>
      </c>
      <c r="J237" t="s">
        <v>101</v>
      </c>
      <c r="K237" t="s">
        <v>15</v>
      </c>
    </row>
    <row r="238" spans="1:11" x14ac:dyDescent="0.25">
      <c r="A238" t="s">
        <v>100</v>
      </c>
      <c r="B238" t="s">
        <v>31</v>
      </c>
      <c r="C238">
        <v>4</v>
      </c>
      <c r="D238">
        <v>4</v>
      </c>
      <c r="E238">
        <v>5</v>
      </c>
      <c r="F238">
        <f>Tabla2[[#This Row],[Score Best Ever]]/Tabla2[[#This Row],[Points Possible]]*100</f>
        <v>80</v>
      </c>
      <c r="G238">
        <v>1</v>
      </c>
      <c r="H238" t="s">
        <v>20</v>
      </c>
      <c r="I238" t="s">
        <v>13</v>
      </c>
      <c r="J238" t="s">
        <v>101</v>
      </c>
      <c r="K238" t="s">
        <v>15</v>
      </c>
    </row>
    <row r="239" spans="1:11" x14ac:dyDescent="0.25">
      <c r="A239" t="s">
        <v>100</v>
      </c>
      <c r="B239" t="s">
        <v>35</v>
      </c>
      <c r="C239">
        <v>5</v>
      </c>
      <c r="D239">
        <v>4</v>
      </c>
      <c r="E239">
        <v>5</v>
      </c>
      <c r="F239">
        <f>Tabla2[[#This Row],[Score Best Ever]]/Tabla2[[#This Row],[Points Possible]]*100</f>
        <v>80</v>
      </c>
      <c r="G239">
        <v>3</v>
      </c>
      <c r="H239" t="s">
        <v>18</v>
      </c>
      <c r="I239" t="s">
        <v>13</v>
      </c>
      <c r="J239" t="s">
        <v>101</v>
      </c>
      <c r="K239" t="s">
        <v>15</v>
      </c>
    </row>
    <row r="240" spans="1:11" x14ac:dyDescent="0.25">
      <c r="A240" t="s">
        <v>100</v>
      </c>
      <c r="B240" t="s">
        <v>36</v>
      </c>
      <c r="D240">
        <v>4</v>
      </c>
      <c r="E240">
        <v>5</v>
      </c>
      <c r="F240">
        <f>Tabla2[[#This Row],[Score Best Ever]]/Tabla2[[#This Row],[Points Possible]]*100</f>
        <v>80</v>
      </c>
      <c r="G240">
        <v>0</v>
      </c>
      <c r="H240" t="s">
        <v>104</v>
      </c>
      <c r="I240" t="s">
        <v>13</v>
      </c>
      <c r="J240" t="s">
        <v>101</v>
      </c>
      <c r="K240" t="s">
        <v>15</v>
      </c>
    </row>
    <row r="241" spans="1:11" x14ac:dyDescent="0.25">
      <c r="A241" t="s">
        <v>100</v>
      </c>
      <c r="B241" t="s">
        <v>37</v>
      </c>
      <c r="C241">
        <v>4</v>
      </c>
      <c r="D241">
        <v>5</v>
      </c>
      <c r="E241">
        <v>5</v>
      </c>
      <c r="F241">
        <f>Tabla2[[#This Row],[Score Best Ever]]/Tabla2[[#This Row],[Points Possible]]*100</f>
        <v>100</v>
      </c>
      <c r="G241">
        <v>2</v>
      </c>
      <c r="H241" t="s">
        <v>18</v>
      </c>
      <c r="I241" t="s">
        <v>13</v>
      </c>
      <c r="J241" t="s">
        <v>101</v>
      </c>
      <c r="K241" t="s">
        <v>15</v>
      </c>
    </row>
    <row r="242" spans="1:11" x14ac:dyDescent="0.25">
      <c r="A242" t="s">
        <v>100</v>
      </c>
      <c r="B242" t="s">
        <v>38</v>
      </c>
      <c r="C242">
        <v>4</v>
      </c>
      <c r="D242">
        <v>5</v>
      </c>
      <c r="E242">
        <v>5</v>
      </c>
      <c r="F242">
        <f>Tabla2[[#This Row],[Score Best Ever]]/Tabla2[[#This Row],[Points Possible]]*100</f>
        <v>100</v>
      </c>
      <c r="G242">
        <v>2</v>
      </c>
      <c r="H242" t="s">
        <v>48</v>
      </c>
      <c r="I242" t="s">
        <v>13</v>
      </c>
      <c r="J242" t="s">
        <v>101</v>
      </c>
      <c r="K242" t="s">
        <v>15</v>
      </c>
    </row>
    <row r="243" spans="1:11" x14ac:dyDescent="0.25">
      <c r="A243" t="s">
        <v>100</v>
      </c>
      <c r="B243" t="s">
        <v>40</v>
      </c>
      <c r="C243">
        <v>5</v>
      </c>
      <c r="D243">
        <v>5</v>
      </c>
      <c r="E243">
        <v>5</v>
      </c>
      <c r="F243">
        <f>Tabla2[[#This Row],[Score Best Ever]]/Tabla2[[#This Row],[Points Possible]]*100</f>
        <v>100</v>
      </c>
      <c r="G243">
        <v>1</v>
      </c>
      <c r="H243" t="s">
        <v>12</v>
      </c>
      <c r="I243" t="s">
        <v>13</v>
      </c>
      <c r="J243" t="s">
        <v>101</v>
      </c>
      <c r="K243" t="s">
        <v>15</v>
      </c>
    </row>
    <row r="244" spans="1:11" x14ac:dyDescent="0.25">
      <c r="A244" t="s">
        <v>100</v>
      </c>
      <c r="B244" t="s">
        <v>41</v>
      </c>
      <c r="C244">
        <v>4</v>
      </c>
      <c r="D244">
        <v>3</v>
      </c>
      <c r="E244">
        <v>5</v>
      </c>
      <c r="F244">
        <f>Tabla2[[#This Row],[Score Best Ever]]/Tabla2[[#This Row],[Points Possible]]*100</f>
        <v>60</v>
      </c>
      <c r="G244">
        <v>2</v>
      </c>
      <c r="H244" t="s">
        <v>20</v>
      </c>
      <c r="I244" t="s">
        <v>13</v>
      </c>
      <c r="J244" t="s">
        <v>101</v>
      </c>
      <c r="K244" t="s">
        <v>15</v>
      </c>
    </row>
    <row r="245" spans="1:11" x14ac:dyDescent="0.25">
      <c r="A245" t="s">
        <v>100</v>
      </c>
      <c r="B245" t="s">
        <v>42</v>
      </c>
      <c r="D245">
        <v>5</v>
      </c>
      <c r="E245">
        <v>5</v>
      </c>
      <c r="F245">
        <f>Tabla2[[#This Row],[Score Best Ever]]/Tabla2[[#This Row],[Points Possible]]*100</f>
        <v>100</v>
      </c>
      <c r="G245">
        <v>0</v>
      </c>
      <c r="H245" t="s">
        <v>105</v>
      </c>
      <c r="I245" t="s">
        <v>13</v>
      </c>
      <c r="J245" t="s">
        <v>101</v>
      </c>
      <c r="K245" t="s">
        <v>15</v>
      </c>
    </row>
    <row r="246" spans="1:11" x14ac:dyDescent="0.25">
      <c r="A246" t="s">
        <v>100</v>
      </c>
      <c r="B246" t="s">
        <v>43</v>
      </c>
      <c r="C246">
        <v>4</v>
      </c>
      <c r="D246">
        <v>5</v>
      </c>
      <c r="E246">
        <v>5</v>
      </c>
      <c r="F246">
        <f>Tabla2[[#This Row],[Score Best Ever]]/Tabla2[[#This Row],[Points Possible]]*100</f>
        <v>100</v>
      </c>
      <c r="G246">
        <v>1</v>
      </c>
      <c r="H246" t="s">
        <v>20</v>
      </c>
      <c r="I246" t="s">
        <v>13</v>
      </c>
      <c r="J246" t="s">
        <v>101</v>
      </c>
      <c r="K246" t="s">
        <v>15</v>
      </c>
    </row>
    <row r="247" spans="1:11" x14ac:dyDescent="0.25">
      <c r="A247" t="s">
        <v>106</v>
      </c>
      <c r="B247" t="s">
        <v>11</v>
      </c>
      <c r="D247">
        <v>3</v>
      </c>
      <c r="E247">
        <v>5</v>
      </c>
      <c r="F247">
        <f>Tabla2[[#This Row],[Score Best Ever]]/Tabla2[[#This Row],[Points Possible]]*100</f>
        <v>60</v>
      </c>
      <c r="G247">
        <v>0</v>
      </c>
      <c r="H247" t="s">
        <v>107</v>
      </c>
      <c r="I247" t="s">
        <v>13</v>
      </c>
      <c r="J247" t="s">
        <v>108</v>
      </c>
      <c r="K247" t="s">
        <v>15</v>
      </c>
    </row>
    <row r="248" spans="1:11" x14ac:dyDescent="0.25">
      <c r="A248" t="s">
        <v>106</v>
      </c>
      <c r="B248" t="s">
        <v>17</v>
      </c>
      <c r="D248">
        <v>5</v>
      </c>
      <c r="E248">
        <v>5</v>
      </c>
      <c r="F248">
        <f>Tabla2[[#This Row],[Score Best Ever]]/Tabla2[[#This Row],[Points Possible]]*100</f>
        <v>100</v>
      </c>
      <c r="G248">
        <v>0</v>
      </c>
      <c r="H248" t="s">
        <v>109</v>
      </c>
      <c r="I248" t="s">
        <v>13</v>
      </c>
      <c r="J248" t="s">
        <v>108</v>
      </c>
      <c r="K248" t="s">
        <v>15</v>
      </c>
    </row>
    <row r="249" spans="1:11" x14ac:dyDescent="0.25">
      <c r="A249" t="s">
        <v>106</v>
      </c>
      <c r="B249" t="s">
        <v>19</v>
      </c>
      <c r="C249">
        <v>4</v>
      </c>
      <c r="D249">
        <v>5</v>
      </c>
      <c r="E249">
        <v>5</v>
      </c>
      <c r="F249">
        <f>Tabla2[[#This Row],[Score Best Ever]]/Tabla2[[#This Row],[Points Possible]]*100</f>
        <v>100</v>
      </c>
      <c r="G249">
        <v>2</v>
      </c>
      <c r="H249" t="s">
        <v>22</v>
      </c>
      <c r="I249" t="s">
        <v>13</v>
      </c>
      <c r="J249" t="s">
        <v>108</v>
      </c>
      <c r="K249" t="s">
        <v>15</v>
      </c>
    </row>
    <row r="250" spans="1:11" x14ac:dyDescent="0.25">
      <c r="A250" t="s">
        <v>106</v>
      </c>
      <c r="B250" t="s">
        <v>21</v>
      </c>
      <c r="C250">
        <v>5</v>
      </c>
      <c r="D250">
        <v>4</v>
      </c>
      <c r="E250">
        <v>5</v>
      </c>
      <c r="F250">
        <f>Tabla2[[#This Row],[Score Best Ever]]/Tabla2[[#This Row],[Points Possible]]*100</f>
        <v>80</v>
      </c>
      <c r="G250">
        <v>3</v>
      </c>
      <c r="H250" t="s">
        <v>44</v>
      </c>
      <c r="I250" t="s">
        <v>13</v>
      </c>
      <c r="J250" t="s">
        <v>108</v>
      </c>
      <c r="K250" t="s">
        <v>15</v>
      </c>
    </row>
    <row r="251" spans="1:11" x14ac:dyDescent="0.25">
      <c r="A251" t="s">
        <v>106</v>
      </c>
      <c r="B251" t="s">
        <v>23</v>
      </c>
      <c r="C251">
        <v>4</v>
      </c>
      <c r="D251">
        <v>4</v>
      </c>
      <c r="E251">
        <v>5</v>
      </c>
      <c r="F251">
        <f>Tabla2[[#This Row],[Score Best Ever]]/Tabla2[[#This Row],[Points Possible]]*100</f>
        <v>80</v>
      </c>
      <c r="G251">
        <v>2</v>
      </c>
      <c r="H251" t="s">
        <v>50</v>
      </c>
      <c r="I251" t="s">
        <v>13</v>
      </c>
      <c r="J251" t="s">
        <v>108</v>
      </c>
      <c r="K251" t="s">
        <v>15</v>
      </c>
    </row>
    <row r="252" spans="1:11" x14ac:dyDescent="0.25">
      <c r="A252" t="s">
        <v>106</v>
      </c>
      <c r="B252" t="s">
        <v>24</v>
      </c>
      <c r="C252">
        <v>5</v>
      </c>
      <c r="D252">
        <v>3</v>
      </c>
      <c r="E252">
        <v>5</v>
      </c>
      <c r="F252">
        <f>Tabla2[[#This Row],[Score Best Ever]]/Tabla2[[#This Row],[Points Possible]]*100</f>
        <v>60</v>
      </c>
      <c r="G252">
        <v>1</v>
      </c>
      <c r="H252" t="s">
        <v>12</v>
      </c>
      <c r="I252" t="s">
        <v>13</v>
      </c>
      <c r="J252" t="s">
        <v>108</v>
      </c>
      <c r="K252" t="s">
        <v>15</v>
      </c>
    </row>
    <row r="253" spans="1:11" x14ac:dyDescent="0.25">
      <c r="A253" t="s">
        <v>106</v>
      </c>
      <c r="B253" t="s">
        <v>27</v>
      </c>
      <c r="C253">
        <v>5</v>
      </c>
      <c r="D253">
        <v>4</v>
      </c>
      <c r="E253">
        <v>5</v>
      </c>
      <c r="F253">
        <f>Tabla2[[#This Row],[Score Best Ever]]/Tabla2[[#This Row],[Points Possible]]*100</f>
        <v>80</v>
      </c>
      <c r="G253">
        <v>1</v>
      </c>
      <c r="H253" t="s">
        <v>12</v>
      </c>
      <c r="I253" t="s">
        <v>13</v>
      </c>
      <c r="J253" t="s">
        <v>108</v>
      </c>
      <c r="K253" t="s">
        <v>15</v>
      </c>
    </row>
    <row r="254" spans="1:11" x14ac:dyDescent="0.25">
      <c r="A254" t="s">
        <v>106</v>
      </c>
      <c r="B254" t="s">
        <v>28</v>
      </c>
      <c r="C254">
        <v>0</v>
      </c>
      <c r="D254">
        <v>5</v>
      </c>
      <c r="E254">
        <v>5</v>
      </c>
      <c r="F254">
        <f>Tabla2[[#This Row],[Score Best Ever]]/Tabla2[[#This Row],[Points Possible]]*100</f>
        <v>100</v>
      </c>
      <c r="G254">
        <v>1</v>
      </c>
      <c r="H254" t="s">
        <v>59</v>
      </c>
      <c r="I254" t="s">
        <v>13</v>
      </c>
      <c r="J254" t="s">
        <v>108</v>
      </c>
      <c r="K254" t="s">
        <v>15</v>
      </c>
    </row>
    <row r="255" spans="1:11" x14ac:dyDescent="0.25">
      <c r="A255" t="s">
        <v>106</v>
      </c>
      <c r="B255" t="s">
        <v>30</v>
      </c>
      <c r="C255">
        <v>5</v>
      </c>
      <c r="D255">
        <v>4</v>
      </c>
      <c r="E255">
        <v>5</v>
      </c>
      <c r="F255">
        <f>Tabla2[[#This Row],[Score Best Ever]]/Tabla2[[#This Row],[Points Possible]]*100</f>
        <v>80</v>
      </c>
      <c r="G255">
        <v>1</v>
      </c>
      <c r="H255" t="s">
        <v>12</v>
      </c>
      <c r="I255" t="s">
        <v>13</v>
      </c>
      <c r="J255" t="s">
        <v>108</v>
      </c>
      <c r="K255" t="s">
        <v>15</v>
      </c>
    </row>
    <row r="256" spans="1:11" x14ac:dyDescent="0.25">
      <c r="A256" t="s">
        <v>106</v>
      </c>
      <c r="B256" t="s">
        <v>31</v>
      </c>
      <c r="C256">
        <v>5</v>
      </c>
      <c r="D256">
        <v>5</v>
      </c>
      <c r="E256">
        <v>5</v>
      </c>
      <c r="F256">
        <f>Tabla2[[#This Row],[Score Best Ever]]/Tabla2[[#This Row],[Points Possible]]*100</f>
        <v>100</v>
      </c>
      <c r="G256">
        <v>1</v>
      </c>
      <c r="H256" t="s">
        <v>12</v>
      </c>
      <c r="I256" t="s">
        <v>13</v>
      </c>
      <c r="J256" t="s">
        <v>108</v>
      </c>
      <c r="K256" t="s">
        <v>15</v>
      </c>
    </row>
    <row r="257" spans="1:11" x14ac:dyDescent="0.25">
      <c r="A257" t="s">
        <v>106</v>
      </c>
      <c r="B257" t="s">
        <v>35</v>
      </c>
      <c r="C257">
        <v>4</v>
      </c>
      <c r="D257">
        <v>3</v>
      </c>
      <c r="E257">
        <v>5</v>
      </c>
      <c r="F257">
        <f>Tabla2[[#This Row],[Score Best Ever]]/Tabla2[[#This Row],[Points Possible]]*100</f>
        <v>60</v>
      </c>
      <c r="G257">
        <v>2</v>
      </c>
      <c r="H257" t="s">
        <v>50</v>
      </c>
      <c r="I257" t="s">
        <v>13</v>
      </c>
      <c r="J257" t="s">
        <v>108</v>
      </c>
      <c r="K257" t="s">
        <v>15</v>
      </c>
    </row>
    <row r="258" spans="1:11" x14ac:dyDescent="0.25">
      <c r="A258" t="s">
        <v>106</v>
      </c>
      <c r="B258" t="s">
        <v>36</v>
      </c>
      <c r="C258">
        <v>5</v>
      </c>
      <c r="D258">
        <v>5</v>
      </c>
      <c r="E258">
        <v>5</v>
      </c>
      <c r="F258">
        <f>Tabla2[[#This Row],[Score Best Ever]]/Tabla2[[#This Row],[Points Possible]]*100</f>
        <v>100</v>
      </c>
      <c r="G258">
        <v>2</v>
      </c>
      <c r="H258" t="s">
        <v>22</v>
      </c>
      <c r="I258" t="s">
        <v>13</v>
      </c>
      <c r="J258" t="s">
        <v>108</v>
      </c>
      <c r="K258" t="s">
        <v>15</v>
      </c>
    </row>
    <row r="259" spans="1:11" x14ac:dyDescent="0.25">
      <c r="A259" t="s">
        <v>106</v>
      </c>
      <c r="B259" t="s">
        <v>37</v>
      </c>
      <c r="D259">
        <v>5</v>
      </c>
      <c r="E259">
        <v>5</v>
      </c>
      <c r="F259">
        <f>Tabla2[[#This Row],[Score Best Ever]]/Tabla2[[#This Row],[Points Possible]]*100</f>
        <v>100</v>
      </c>
      <c r="G259">
        <v>0</v>
      </c>
      <c r="H259" t="s">
        <v>110</v>
      </c>
      <c r="I259" t="s">
        <v>13</v>
      </c>
      <c r="J259" t="s">
        <v>108</v>
      </c>
      <c r="K259" t="s">
        <v>15</v>
      </c>
    </row>
    <row r="260" spans="1:11" x14ac:dyDescent="0.25">
      <c r="A260" t="s">
        <v>106</v>
      </c>
      <c r="B260" t="s">
        <v>38</v>
      </c>
      <c r="C260">
        <v>5</v>
      </c>
      <c r="D260">
        <v>5</v>
      </c>
      <c r="E260">
        <v>5</v>
      </c>
      <c r="F260">
        <f>Tabla2[[#This Row],[Score Best Ever]]/Tabla2[[#This Row],[Points Possible]]*100</f>
        <v>100</v>
      </c>
      <c r="G260">
        <v>2</v>
      </c>
      <c r="H260" t="s">
        <v>59</v>
      </c>
      <c r="I260" t="s">
        <v>13</v>
      </c>
      <c r="J260" t="s">
        <v>108</v>
      </c>
      <c r="K260" t="s">
        <v>15</v>
      </c>
    </row>
    <row r="261" spans="1:11" x14ac:dyDescent="0.25">
      <c r="A261" t="s">
        <v>106</v>
      </c>
      <c r="B261" t="s">
        <v>40</v>
      </c>
      <c r="D261">
        <v>5</v>
      </c>
      <c r="E261">
        <v>5</v>
      </c>
      <c r="F261">
        <f>Tabla2[[#This Row],[Score Best Ever]]/Tabla2[[#This Row],[Points Possible]]*100</f>
        <v>100</v>
      </c>
      <c r="G261">
        <v>0</v>
      </c>
      <c r="H261" t="s">
        <v>111</v>
      </c>
      <c r="I261" t="s">
        <v>13</v>
      </c>
      <c r="J261" t="s">
        <v>108</v>
      </c>
      <c r="K261" t="s">
        <v>15</v>
      </c>
    </row>
    <row r="262" spans="1:11" x14ac:dyDescent="0.25">
      <c r="A262" t="s">
        <v>106</v>
      </c>
      <c r="B262" t="s">
        <v>41</v>
      </c>
      <c r="C262">
        <v>5</v>
      </c>
      <c r="D262">
        <v>3</v>
      </c>
      <c r="E262">
        <v>5</v>
      </c>
      <c r="F262">
        <f>Tabla2[[#This Row],[Score Best Ever]]/Tabla2[[#This Row],[Points Possible]]*100</f>
        <v>60</v>
      </c>
      <c r="G262">
        <v>1</v>
      </c>
      <c r="H262" t="s">
        <v>12</v>
      </c>
      <c r="I262" t="s">
        <v>13</v>
      </c>
      <c r="J262" t="s">
        <v>108</v>
      </c>
      <c r="K262" t="s">
        <v>15</v>
      </c>
    </row>
    <row r="263" spans="1:11" x14ac:dyDescent="0.25">
      <c r="A263" t="s">
        <v>106</v>
      </c>
      <c r="B263" t="s">
        <v>42</v>
      </c>
      <c r="C263">
        <v>5</v>
      </c>
      <c r="D263">
        <v>5</v>
      </c>
      <c r="E263">
        <v>5</v>
      </c>
      <c r="F263">
        <f>Tabla2[[#This Row],[Score Best Ever]]/Tabla2[[#This Row],[Points Possible]]*100</f>
        <v>100</v>
      </c>
      <c r="G263">
        <v>1</v>
      </c>
      <c r="H263" t="s">
        <v>12</v>
      </c>
      <c r="I263" t="s">
        <v>13</v>
      </c>
      <c r="J263" t="s">
        <v>108</v>
      </c>
      <c r="K263" t="s">
        <v>15</v>
      </c>
    </row>
    <row r="264" spans="1:11" x14ac:dyDescent="0.25">
      <c r="A264" t="s">
        <v>106</v>
      </c>
      <c r="B264" t="s">
        <v>43</v>
      </c>
      <c r="C264">
        <v>4</v>
      </c>
      <c r="D264">
        <v>5</v>
      </c>
      <c r="E264">
        <v>5</v>
      </c>
      <c r="F264">
        <f>Tabla2[[#This Row],[Score Best Ever]]/Tabla2[[#This Row],[Points Possible]]*100</f>
        <v>100</v>
      </c>
      <c r="G264">
        <v>4</v>
      </c>
      <c r="H264" t="s">
        <v>39</v>
      </c>
      <c r="I264" t="s">
        <v>13</v>
      </c>
      <c r="J264" t="s">
        <v>108</v>
      </c>
      <c r="K264" t="s">
        <v>15</v>
      </c>
    </row>
    <row r="265" spans="1:11" x14ac:dyDescent="0.25">
      <c r="A265" t="s">
        <v>112</v>
      </c>
      <c r="B265" t="s">
        <v>11</v>
      </c>
      <c r="C265">
        <v>4</v>
      </c>
      <c r="D265">
        <v>14</v>
      </c>
      <c r="E265">
        <v>15</v>
      </c>
      <c r="F265">
        <f>Tabla2[[#This Row],[Score Best Ever]]/Tabla2[[#This Row],[Points Possible]]*100</f>
        <v>93.333333333333329</v>
      </c>
      <c r="G265">
        <v>1</v>
      </c>
      <c r="H265" t="s">
        <v>20</v>
      </c>
      <c r="I265" t="s">
        <v>13</v>
      </c>
      <c r="J265" t="s">
        <v>113</v>
      </c>
      <c r="K265" t="s">
        <v>58</v>
      </c>
    </row>
    <row r="266" spans="1:11" x14ac:dyDescent="0.25">
      <c r="A266" t="s">
        <v>112</v>
      </c>
      <c r="B266" t="s">
        <v>17</v>
      </c>
      <c r="C266">
        <v>4</v>
      </c>
      <c r="D266">
        <v>13</v>
      </c>
      <c r="E266">
        <v>15</v>
      </c>
      <c r="F266">
        <f>Tabla2[[#This Row],[Score Best Ever]]/Tabla2[[#This Row],[Points Possible]]*100</f>
        <v>86.666666666666671</v>
      </c>
      <c r="G266">
        <v>2</v>
      </c>
      <c r="H266" t="s">
        <v>50</v>
      </c>
      <c r="I266" t="s">
        <v>13</v>
      </c>
      <c r="J266" t="s">
        <v>113</v>
      </c>
      <c r="K266" t="s">
        <v>58</v>
      </c>
    </row>
    <row r="267" spans="1:11" x14ac:dyDescent="0.25">
      <c r="A267" t="s">
        <v>112</v>
      </c>
      <c r="B267" t="s">
        <v>19</v>
      </c>
      <c r="C267">
        <v>4</v>
      </c>
      <c r="D267">
        <v>13</v>
      </c>
      <c r="E267">
        <v>15</v>
      </c>
      <c r="F267">
        <f>Tabla2[[#This Row],[Score Best Ever]]/Tabla2[[#This Row],[Points Possible]]*100</f>
        <v>86.666666666666671</v>
      </c>
      <c r="G267">
        <v>1</v>
      </c>
      <c r="H267" t="s">
        <v>47</v>
      </c>
      <c r="I267" t="s">
        <v>13</v>
      </c>
      <c r="J267" t="s">
        <v>113</v>
      </c>
      <c r="K267" t="s">
        <v>58</v>
      </c>
    </row>
    <row r="268" spans="1:11" x14ac:dyDescent="0.25">
      <c r="A268" t="s">
        <v>112</v>
      </c>
      <c r="B268" t="s">
        <v>21</v>
      </c>
      <c r="C268">
        <v>5</v>
      </c>
      <c r="D268">
        <v>11</v>
      </c>
      <c r="E268">
        <v>15</v>
      </c>
      <c r="F268">
        <f>Tabla2[[#This Row],[Score Best Ever]]/Tabla2[[#This Row],[Points Possible]]*100</f>
        <v>73.333333333333329</v>
      </c>
      <c r="G268">
        <v>2</v>
      </c>
      <c r="H268" t="s">
        <v>53</v>
      </c>
      <c r="I268" t="s">
        <v>13</v>
      </c>
      <c r="J268" t="s">
        <v>113</v>
      </c>
      <c r="K268" t="s">
        <v>58</v>
      </c>
    </row>
    <row r="269" spans="1:11" x14ac:dyDescent="0.25">
      <c r="A269" t="s">
        <v>112</v>
      </c>
      <c r="B269" t="s">
        <v>23</v>
      </c>
      <c r="C269">
        <v>5</v>
      </c>
      <c r="D269">
        <v>10</v>
      </c>
      <c r="E269">
        <v>15</v>
      </c>
      <c r="F269">
        <f>Tabla2[[#This Row],[Score Best Ever]]/Tabla2[[#This Row],[Points Possible]]*100</f>
        <v>66.666666666666657</v>
      </c>
      <c r="G269">
        <v>1</v>
      </c>
      <c r="H269" t="s">
        <v>53</v>
      </c>
      <c r="I269" t="s">
        <v>13</v>
      </c>
      <c r="J269" t="s">
        <v>113</v>
      </c>
      <c r="K269" t="s">
        <v>58</v>
      </c>
    </row>
    <row r="270" spans="1:11" x14ac:dyDescent="0.25">
      <c r="A270" t="s">
        <v>112</v>
      </c>
      <c r="B270" t="s">
        <v>24</v>
      </c>
      <c r="D270">
        <v>13</v>
      </c>
      <c r="E270">
        <v>15</v>
      </c>
      <c r="F270">
        <f>Tabla2[[#This Row],[Score Best Ever]]/Tabla2[[#This Row],[Points Possible]]*100</f>
        <v>86.666666666666671</v>
      </c>
      <c r="G270">
        <v>0</v>
      </c>
      <c r="H270" t="s">
        <v>114</v>
      </c>
      <c r="I270" t="s">
        <v>13</v>
      </c>
      <c r="J270" t="s">
        <v>113</v>
      </c>
      <c r="K270" t="s">
        <v>58</v>
      </c>
    </row>
    <row r="271" spans="1:11" x14ac:dyDescent="0.25">
      <c r="A271" t="s">
        <v>112</v>
      </c>
      <c r="B271" t="s">
        <v>27</v>
      </c>
      <c r="C271">
        <v>4</v>
      </c>
      <c r="D271">
        <v>10</v>
      </c>
      <c r="E271">
        <v>15</v>
      </c>
      <c r="F271">
        <f>Tabla2[[#This Row],[Score Best Ever]]/Tabla2[[#This Row],[Points Possible]]*100</f>
        <v>66.666666666666657</v>
      </c>
      <c r="G271">
        <v>1</v>
      </c>
      <c r="H271" t="s">
        <v>47</v>
      </c>
      <c r="I271" t="s">
        <v>13</v>
      </c>
      <c r="J271" t="s">
        <v>113</v>
      </c>
      <c r="K271" t="s">
        <v>58</v>
      </c>
    </row>
    <row r="272" spans="1:11" x14ac:dyDescent="0.25">
      <c r="A272" t="s">
        <v>112</v>
      </c>
      <c r="B272" t="s">
        <v>28</v>
      </c>
      <c r="C272">
        <v>5</v>
      </c>
      <c r="D272">
        <v>13</v>
      </c>
      <c r="E272">
        <v>15</v>
      </c>
      <c r="F272">
        <f>Tabla2[[#This Row],[Score Best Ever]]/Tabla2[[#This Row],[Points Possible]]*100</f>
        <v>86.666666666666671</v>
      </c>
      <c r="G272">
        <v>2</v>
      </c>
      <c r="H272" t="s">
        <v>84</v>
      </c>
      <c r="I272" t="s">
        <v>13</v>
      </c>
      <c r="J272" t="s">
        <v>113</v>
      </c>
      <c r="K272" t="s">
        <v>58</v>
      </c>
    </row>
    <row r="273" spans="1:11" x14ac:dyDescent="0.25">
      <c r="A273" t="s">
        <v>112</v>
      </c>
      <c r="B273" t="s">
        <v>30</v>
      </c>
      <c r="C273">
        <v>4</v>
      </c>
      <c r="D273">
        <v>13</v>
      </c>
      <c r="E273">
        <v>15</v>
      </c>
      <c r="F273">
        <f>Tabla2[[#This Row],[Score Best Ever]]/Tabla2[[#This Row],[Points Possible]]*100</f>
        <v>86.666666666666671</v>
      </c>
      <c r="G273">
        <v>1</v>
      </c>
      <c r="H273" t="s">
        <v>20</v>
      </c>
      <c r="I273" t="s">
        <v>13</v>
      </c>
      <c r="J273" t="s">
        <v>113</v>
      </c>
      <c r="K273" t="s">
        <v>58</v>
      </c>
    </row>
    <row r="274" spans="1:11" x14ac:dyDescent="0.25">
      <c r="A274" t="s">
        <v>112</v>
      </c>
      <c r="B274" t="s">
        <v>31</v>
      </c>
      <c r="D274">
        <v>14</v>
      </c>
      <c r="E274">
        <v>15</v>
      </c>
      <c r="F274">
        <f>Tabla2[[#This Row],[Score Best Ever]]/Tabla2[[#This Row],[Points Possible]]*100</f>
        <v>93.333333333333329</v>
      </c>
      <c r="G274">
        <v>0</v>
      </c>
      <c r="H274" t="s">
        <v>115</v>
      </c>
      <c r="I274" t="s">
        <v>13</v>
      </c>
      <c r="J274" t="s">
        <v>113</v>
      </c>
      <c r="K274" t="s">
        <v>58</v>
      </c>
    </row>
    <row r="275" spans="1:11" x14ac:dyDescent="0.25">
      <c r="A275" t="s">
        <v>112</v>
      </c>
      <c r="B275" t="s">
        <v>35</v>
      </c>
      <c r="C275">
        <v>3</v>
      </c>
      <c r="D275">
        <v>4</v>
      </c>
      <c r="E275">
        <v>15</v>
      </c>
      <c r="F275">
        <f>Tabla2[[#This Row],[Score Best Ever]]/Tabla2[[#This Row],[Points Possible]]*100</f>
        <v>26.666666666666668</v>
      </c>
      <c r="G275">
        <v>1</v>
      </c>
      <c r="H275" t="s">
        <v>18</v>
      </c>
      <c r="I275" t="s">
        <v>13</v>
      </c>
      <c r="J275" t="s">
        <v>113</v>
      </c>
      <c r="K275" t="s">
        <v>58</v>
      </c>
    </row>
    <row r="276" spans="1:11" x14ac:dyDescent="0.25">
      <c r="A276" t="s">
        <v>112</v>
      </c>
      <c r="B276" t="s">
        <v>36</v>
      </c>
      <c r="C276">
        <v>3</v>
      </c>
      <c r="D276">
        <v>13</v>
      </c>
      <c r="E276">
        <v>15</v>
      </c>
      <c r="F276">
        <f>Tabla2[[#This Row],[Score Best Ever]]/Tabla2[[#This Row],[Points Possible]]*100</f>
        <v>86.666666666666671</v>
      </c>
      <c r="G276">
        <v>1</v>
      </c>
      <c r="H276" t="s">
        <v>18</v>
      </c>
      <c r="I276" t="s">
        <v>13</v>
      </c>
      <c r="J276" t="s">
        <v>113</v>
      </c>
      <c r="K276" t="s">
        <v>58</v>
      </c>
    </row>
    <row r="277" spans="1:11" x14ac:dyDescent="0.25">
      <c r="A277" t="s">
        <v>112</v>
      </c>
      <c r="B277" t="s">
        <v>37</v>
      </c>
      <c r="C277">
        <v>4</v>
      </c>
      <c r="D277">
        <v>15</v>
      </c>
      <c r="E277">
        <v>15</v>
      </c>
      <c r="F277">
        <f>Tabla2[[#This Row],[Score Best Ever]]/Tabla2[[#This Row],[Points Possible]]*100</f>
        <v>100</v>
      </c>
      <c r="G277">
        <v>4</v>
      </c>
      <c r="H277" t="s">
        <v>50</v>
      </c>
      <c r="I277" t="s">
        <v>13</v>
      </c>
      <c r="J277" t="s">
        <v>113</v>
      </c>
      <c r="K277" t="s">
        <v>58</v>
      </c>
    </row>
    <row r="278" spans="1:11" x14ac:dyDescent="0.25">
      <c r="A278" t="s">
        <v>112</v>
      </c>
      <c r="B278" t="s">
        <v>38</v>
      </c>
      <c r="C278">
        <v>4</v>
      </c>
      <c r="D278">
        <v>15</v>
      </c>
      <c r="E278">
        <v>15</v>
      </c>
      <c r="F278">
        <f>Tabla2[[#This Row],[Score Best Ever]]/Tabla2[[#This Row],[Points Possible]]*100</f>
        <v>100</v>
      </c>
      <c r="G278">
        <v>2</v>
      </c>
      <c r="H278" t="s">
        <v>54</v>
      </c>
      <c r="I278" t="s">
        <v>13</v>
      </c>
      <c r="J278" t="s">
        <v>113</v>
      </c>
      <c r="K278" t="s">
        <v>58</v>
      </c>
    </row>
    <row r="279" spans="1:11" x14ac:dyDescent="0.25">
      <c r="A279" t="s">
        <v>112</v>
      </c>
      <c r="B279" t="s">
        <v>40</v>
      </c>
      <c r="C279">
        <v>4</v>
      </c>
      <c r="D279">
        <v>12</v>
      </c>
      <c r="E279">
        <v>15</v>
      </c>
      <c r="F279">
        <f>Tabla2[[#This Row],[Score Best Ever]]/Tabla2[[#This Row],[Points Possible]]*100</f>
        <v>80</v>
      </c>
      <c r="G279">
        <v>1</v>
      </c>
      <c r="H279" t="s">
        <v>20</v>
      </c>
      <c r="I279" t="s">
        <v>13</v>
      </c>
      <c r="J279" t="s">
        <v>113</v>
      </c>
      <c r="K279" t="s">
        <v>58</v>
      </c>
    </row>
    <row r="280" spans="1:11" x14ac:dyDescent="0.25">
      <c r="A280" t="s">
        <v>112</v>
      </c>
      <c r="B280" t="s">
        <v>41</v>
      </c>
      <c r="D280">
        <v>10</v>
      </c>
      <c r="E280">
        <v>15</v>
      </c>
      <c r="F280">
        <f>Tabla2[[#This Row],[Score Best Ever]]/Tabla2[[#This Row],[Points Possible]]*100</f>
        <v>66.666666666666657</v>
      </c>
      <c r="G280">
        <v>0</v>
      </c>
      <c r="H280" t="s">
        <v>116</v>
      </c>
      <c r="I280" t="s">
        <v>13</v>
      </c>
      <c r="J280" t="s">
        <v>113</v>
      </c>
      <c r="K280" t="s">
        <v>58</v>
      </c>
    </row>
    <row r="281" spans="1:11" x14ac:dyDescent="0.25">
      <c r="A281" t="s">
        <v>112</v>
      </c>
      <c r="B281" t="s">
        <v>42</v>
      </c>
      <c r="C281">
        <v>4</v>
      </c>
      <c r="D281">
        <v>15</v>
      </c>
      <c r="E281">
        <v>15</v>
      </c>
      <c r="F281">
        <f>Tabla2[[#This Row],[Score Best Ever]]/Tabla2[[#This Row],[Points Possible]]*100</f>
        <v>100</v>
      </c>
      <c r="G281">
        <v>2</v>
      </c>
      <c r="H281" t="s">
        <v>18</v>
      </c>
      <c r="I281" t="s">
        <v>13</v>
      </c>
      <c r="J281" t="s">
        <v>113</v>
      </c>
      <c r="K281" t="s">
        <v>58</v>
      </c>
    </row>
    <row r="282" spans="1:11" x14ac:dyDescent="0.25">
      <c r="A282" t="s">
        <v>112</v>
      </c>
      <c r="B282" t="s">
        <v>43</v>
      </c>
      <c r="C282">
        <v>4</v>
      </c>
      <c r="D282">
        <v>15</v>
      </c>
      <c r="E282">
        <v>15</v>
      </c>
      <c r="F282">
        <f>Tabla2[[#This Row],[Score Best Ever]]/Tabla2[[#This Row],[Points Possible]]*100</f>
        <v>100</v>
      </c>
      <c r="G282">
        <v>2</v>
      </c>
      <c r="H282" t="s">
        <v>48</v>
      </c>
      <c r="I282" t="s">
        <v>13</v>
      </c>
      <c r="J282" t="s">
        <v>113</v>
      </c>
      <c r="K282" t="s">
        <v>58</v>
      </c>
    </row>
    <row r="283" spans="1:11" x14ac:dyDescent="0.25">
      <c r="A283" t="s">
        <v>117</v>
      </c>
      <c r="B283" t="s">
        <v>11</v>
      </c>
      <c r="C283">
        <v>4</v>
      </c>
      <c r="D283">
        <v>4</v>
      </c>
      <c r="E283">
        <v>6</v>
      </c>
      <c r="F283">
        <f>Tabla2[[#This Row],[Score Best Ever]]/Tabla2[[#This Row],[Points Possible]]*100</f>
        <v>66.666666666666657</v>
      </c>
      <c r="G283">
        <v>1</v>
      </c>
      <c r="H283" t="s">
        <v>47</v>
      </c>
      <c r="I283" t="s">
        <v>13</v>
      </c>
      <c r="J283" t="s">
        <v>118</v>
      </c>
      <c r="K283" t="s">
        <v>15</v>
      </c>
    </row>
    <row r="284" spans="1:11" x14ac:dyDescent="0.25">
      <c r="A284" t="s">
        <v>117</v>
      </c>
      <c r="B284" t="s">
        <v>17</v>
      </c>
      <c r="C284">
        <v>5</v>
      </c>
      <c r="D284">
        <v>6</v>
      </c>
      <c r="E284">
        <v>6</v>
      </c>
      <c r="F284">
        <f>Tabla2[[#This Row],[Score Best Ever]]/Tabla2[[#This Row],[Points Possible]]*100</f>
        <v>100</v>
      </c>
      <c r="G284">
        <v>3</v>
      </c>
      <c r="H284" t="s">
        <v>12</v>
      </c>
      <c r="I284" t="s">
        <v>13</v>
      </c>
      <c r="J284" t="s">
        <v>118</v>
      </c>
      <c r="K284" t="s">
        <v>15</v>
      </c>
    </row>
    <row r="285" spans="1:11" x14ac:dyDescent="0.25">
      <c r="A285" t="s">
        <v>117</v>
      </c>
      <c r="B285" t="s">
        <v>19</v>
      </c>
      <c r="C285">
        <v>5</v>
      </c>
      <c r="D285">
        <v>6</v>
      </c>
      <c r="E285">
        <v>6</v>
      </c>
      <c r="F285">
        <f>Tabla2[[#This Row],[Score Best Ever]]/Tabla2[[#This Row],[Points Possible]]*100</f>
        <v>100</v>
      </c>
      <c r="G285">
        <v>4</v>
      </c>
      <c r="H285" t="s">
        <v>20</v>
      </c>
      <c r="I285" t="s">
        <v>13</v>
      </c>
      <c r="J285" t="s">
        <v>118</v>
      </c>
      <c r="K285" t="s">
        <v>15</v>
      </c>
    </row>
    <row r="286" spans="1:11" x14ac:dyDescent="0.25">
      <c r="A286" t="s">
        <v>117</v>
      </c>
      <c r="B286" t="s">
        <v>21</v>
      </c>
      <c r="C286">
        <v>4</v>
      </c>
      <c r="D286">
        <v>3</v>
      </c>
      <c r="E286">
        <v>6</v>
      </c>
      <c r="F286">
        <f>Tabla2[[#This Row],[Score Best Ever]]/Tabla2[[#This Row],[Points Possible]]*100</f>
        <v>50</v>
      </c>
      <c r="G286">
        <v>1</v>
      </c>
      <c r="H286" t="s">
        <v>47</v>
      </c>
      <c r="I286" t="s">
        <v>13</v>
      </c>
      <c r="J286" t="s">
        <v>118</v>
      </c>
      <c r="K286" t="s">
        <v>15</v>
      </c>
    </row>
    <row r="287" spans="1:11" x14ac:dyDescent="0.25">
      <c r="A287" t="s">
        <v>117</v>
      </c>
      <c r="B287" t="s">
        <v>23</v>
      </c>
      <c r="C287">
        <v>4</v>
      </c>
      <c r="D287">
        <v>5</v>
      </c>
      <c r="E287">
        <v>6</v>
      </c>
      <c r="F287">
        <f>Tabla2[[#This Row],[Score Best Ever]]/Tabla2[[#This Row],[Points Possible]]*100</f>
        <v>83.333333333333343</v>
      </c>
      <c r="G287">
        <v>2</v>
      </c>
      <c r="H287" t="s">
        <v>25</v>
      </c>
      <c r="I287" t="s">
        <v>13</v>
      </c>
      <c r="J287" t="s">
        <v>118</v>
      </c>
      <c r="K287" t="s">
        <v>15</v>
      </c>
    </row>
    <row r="288" spans="1:11" x14ac:dyDescent="0.25">
      <c r="A288" t="s">
        <v>117</v>
      </c>
      <c r="B288" t="s">
        <v>24</v>
      </c>
      <c r="C288">
        <v>4</v>
      </c>
      <c r="D288">
        <v>4</v>
      </c>
      <c r="E288">
        <v>6</v>
      </c>
      <c r="F288">
        <f>Tabla2[[#This Row],[Score Best Ever]]/Tabla2[[#This Row],[Points Possible]]*100</f>
        <v>66.666666666666657</v>
      </c>
      <c r="G288">
        <v>1</v>
      </c>
      <c r="H288" t="s">
        <v>47</v>
      </c>
      <c r="I288" t="s">
        <v>13</v>
      </c>
      <c r="J288" t="s">
        <v>118</v>
      </c>
      <c r="K288" t="s">
        <v>15</v>
      </c>
    </row>
    <row r="289" spans="1:11" x14ac:dyDescent="0.25">
      <c r="A289" t="s">
        <v>117</v>
      </c>
      <c r="B289" t="s">
        <v>27</v>
      </c>
      <c r="C289">
        <v>4</v>
      </c>
      <c r="D289">
        <v>5</v>
      </c>
      <c r="E289">
        <v>6</v>
      </c>
      <c r="F289">
        <f>Tabla2[[#This Row],[Score Best Ever]]/Tabla2[[#This Row],[Points Possible]]*100</f>
        <v>83.333333333333343</v>
      </c>
      <c r="G289">
        <v>1</v>
      </c>
      <c r="H289" t="s">
        <v>47</v>
      </c>
      <c r="I289" t="s">
        <v>13</v>
      </c>
      <c r="J289" t="s">
        <v>118</v>
      </c>
      <c r="K289" t="s">
        <v>15</v>
      </c>
    </row>
    <row r="290" spans="1:11" x14ac:dyDescent="0.25">
      <c r="A290" t="s">
        <v>117</v>
      </c>
      <c r="B290" t="s">
        <v>28</v>
      </c>
      <c r="C290">
        <v>5</v>
      </c>
      <c r="D290">
        <v>6</v>
      </c>
      <c r="E290">
        <v>6</v>
      </c>
      <c r="F290">
        <f>Tabla2[[#This Row],[Score Best Ever]]/Tabla2[[#This Row],[Points Possible]]*100</f>
        <v>100</v>
      </c>
      <c r="G290">
        <v>4</v>
      </c>
      <c r="H290" t="s">
        <v>20</v>
      </c>
      <c r="I290" t="s">
        <v>13</v>
      </c>
      <c r="J290" t="s">
        <v>118</v>
      </c>
      <c r="K290" t="s">
        <v>15</v>
      </c>
    </row>
    <row r="291" spans="1:11" x14ac:dyDescent="0.25">
      <c r="A291" t="s">
        <v>117</v>
      </c>
      <c r="B291" t="s">
        <v>30</v>
      </c>
      <c r="C291">
        <v>4</v>
      </c>
      <c r="D291">
        <v>6</v>
      </c>
      <c r="E291">
        <v>6</v>
      </c>
      <c r="F291">
        <f>Tabla2[[#This Row],[Score Best Ever]]/Tabla2[[#This Row],[Points Possible]]*100</f>
        <v>100</v>
      </c>
      <c r="G291">
        <v>1</v>
      </c>
      <c r="H291" t="s">
        <v>47</v>
      </c>
      <c r="I291" t="s">
        <v>13</v>
      </c>
      <c r="J291" t="s">
        <v>118</v>
      </c>
      <c r="K291" t="s">
        <v>15</v>
      </c>
    </row>
    <row r="292" spans="1:11" x14ac:dyDescent="0.25">
      <c r="A292" t="s">
        <v>117</v>
      </c>
      <c r="B292" t="s">
        <v>31</v>
      </c>
      <c r="C292">
        <v>4</v>
      </c>
      <c r="D292">
        <v>4</v>
      </c>
      <c r="E292">
        <v>6</v>
      </c>
      <c r="F292">
        <f>Tabla2[[#This Row],[Score Best Ever]]/Tabla2[[#This Row],[Points Possible]]*100</f>
        <v>66.666666666666657</v>
      </c>
      <c r="G292">
        <v>1</v>
      </c>
      <c r="H292" t="s">
        <v>47</v>
      </c>
      <c r="I292" t="s">
        <v>13</v>
      </c>
      <c r="J292" t="s">
        <v>118</v>
      </c>
      <c r="K292" t="s">
        <v>15</v>
      </c>
    </row>
    <row r="293" spans="1:11" x14ac:dyDescent="0.25">
      <c r="A293" t="s">
        <v>117</v>
      </c>
      <c r="B293" t="s">
        <v>35</v>
      </c>
      <c r="C293">
        <v>4</v>
      </c>
      <c r="D293">
        <v>5</v>
      </c>
      <c r="E293">
        <v>6</v>
      </c>
      <c r="F293">
        <f>Tabla2[[#This Row],[Score Best Ever]]/Tabla2[[#This Row],[Points Possible]]*100</f>
        <v>83.333333333333343</v>
      </c>
      <c r="G293">
        <v>2</v>
      </c>
      <c r="H293" t="s">
        <v>18</v>
      </c>
      <c r="I293" t="s">
        <v>13</v>
      </c>
      <c r="J293" t="s">
        <v>118</v>
      </c>
      <c r="K293" t="s">
        <v>15</v>
      </c>
    </row>
    <row r="294" spans="1:11" x14ac:dyDescent="0.25">
      <c r="A294" t="s">
        <v>117</v>
      </c>
      <c r="B294" t="s">
        <v>36</v>
      </c>
      <c r="C294">
        <v>5</v>
      </c>
      <c r="D294">
        <v>4</v>
      </c>
      <c r="E294">
        <v>6</v>
      </c>
      <c r="F294">
        <f>Tabla2[[#This Row],[Score Best Ever]]/Tabla2[[#This Row],[Points Possible]]*100</f>
        <v>66.666666666666657</v>
      </c>
      <c r="G294">
        <v>3</v>
      </c>
      <c r="H294" t="s">
        <v>12</v>
      </c>
      <c r="I294" t="s">
        <v>13</v>
      </c>
      <c r="J294" t="s">
        <v>118</v>
      </c>
      <c r="K294" t="s">
        <v>15</v>
      </c>
    </row>
    <row r="295" spans="1:11" x14ac:dyDescent="0.25">
      <c r="A295" t="s">
        <v>117</v>
      </c>
      <c r="B295" t="s">
        <v>37</v>
      </c>
      <c r="C295">
        <v>4</v>
      </c>
      <c r="D295">
        <v>6</v>
      </c>
      <c r="E295">
        <v>6</v>
      </c>
      <c r="F295">
        <f>Tabla2[[#This Row],[Score Best Ever]]/Tabla2[[#This Row],[Points Possible]]*100</f>
        <v>100</v>
      </c>
      <c r="G295">
        <v>1</v>
      </c>
      <c r="H295" t="s">
        <v>47</v>
      </c>
      <c r="I295" t="s">
        <v>13</v>
      </c>
      <c r="J295" t="s">
        <v>118</v>
      </c>
      <c r="K295" t="s">
        <v>15</v>
      </c>
    </row>
    <row r="296" spans="1:11" x14ac:dyDescent="0.25">
      <c r="A296" t="s">
        <v>117</v>
      </c>
      <c r="B296" t="s">
        <v>38</v>
      </c>
      <c r="C296">
        <v>5</v>
      </c>
      <c r="D296">
        <v>6</v>
      </c>
      <c r="E296">
        <v>6</v>
      </c>
      <c r="F296">
        <f>Tabla2[[#This Row],[Score Best Ever]]/Tabla2[[#This Row],[Points Possible]]*100</f>
        <v>100</v>
      </c>
      <c r="G296">
        <v>3</v>
      </c>
      <c r="H296" t="s">
        <v>12</v>
      </c>
      <c r="I296" t="s">
        <v>13</v>
      </c>
      <c r="J296" t="s">
        <v>118</v>
      </c>
      <c r="K296" t="s">
        <v>15</v>
      </c>
    </row>
    <row r="297" spans="1:11" x14ac:dyDescent="0.25">
      <c r="A297" t="s">
        <v>117</v>
      </c>
      <c r="B297" t="s">
        <v>40</v>
      </c>
      <c r="C297">
        <v>4</v>
      </c>
      <c r="D297">
        <v>6</v>
      </c>
      <c r="E297">
        <v>6</v>
      </c>
      <c r="F297">
        <f>Tabla2[[#This Row],[Score Best Ever]]/Tabla2[[#This Row],[Points Possible]]*100</f>
        <v>100</v>
      </c>
      <c r="G297">
        <v>1</v>
      </c>
      <c r="H297" t="s">
        <v>47</v>
      </c>
      <c r="I297" t="s">
        <v>13</v>
      </c>
      <c r="J297" t="s">
        <v>118</v>
      </c>
      <c r="K297" t="s">
        <v>15</v>
      </c>
    </row>
    <row r="298" spans="1:11" x14ac:dyDescent="0.25">
      <c r="A298" t="s">
        <v>117</v>
      </c>
      <c r="B298" t="s">
        <v>41</v>
      </c>
      <c r="C298">
        <v>4</v>
      </c>
      <c r="D298">
        <v>5</v>
      </c>
      <c r="E298">
        <v>6</v>
      </c>
      <c r="F298">
        <f>Tabla2[[#This Row],[Score Best Ever]]/Tabla2[[#This Row],[Points Possible]]*100</f>
        <v>83.333333333333343</v>
      </c>
      <c r="G298">
        <v>1</v>
      </c>
      <c r="H298" t="s">
        <v>47</v>
      </c>
      <c r="I298" t="s">
        <v>13</v>
      </c>
      <c r="J298" t="s">
        <v>118</v>
      </c>
      <c r="K298" t="s">
        <v>15</v>
      </c>
    </row>
    <row r="299" spans="1:11" x14ac:dyDescent="0.25">
      <c r="A299" t="s">
        <v>117</v>
      </c>
      <c r="B299" t="s">
        <v>42</v>
      </c>
      <c r="C299">
        <v>4</v>
      </c>
      <c r="D299">
        <v>6</v>
      </c>
      <c r="E299">
        <v>6</v>
      </c>
      <c r="F299">
        <f>Tabla2[[#This Row],[Score Best Ever]]/Tabla2[[#This Row],[Points Possible]]*100</f>
        <v>100</v>
      </c>
      <c r="G299">
        <v>1</v>
      </c>
      <c r="H299" t="s">
        <v>47</v>
      </c>
      <c r="I299" t="s">
        <v>13</v>
      </c>
      <c r="J299" t="s">
        <v>118</v>
      </c>
      <c r="K299" t="s">
        <v>15</v>
      </c>
    </row>
    <row r="300" spans="1:11" x14ac:dyDescent="0.25">
      <c r="A300" t="s">
        <v>117</v>
      </c>
      <c r="B300" t="s">
        <v>43</v>
      </c>
      <c r="C300">
        <v>4</v>
      </c>
      <c r="D300">
        <v>5</v>
      </c>
      <c r="E300">
        <v>6</v>
      </c>
      <c r="F300">
        <f>Tabla2[[#This Row],[Score Best Ever]]/Tabla2[[#This Row],[Points Possible]]*100</f>
        <v>83.333333333333343</v>
      </c>
      <c r="G300">
        <v>2</v>
      </c>
      <c r="H300" t="s">
        <v>20</v>
      </c>
      <c r="I300" t="s">
        <v>13</v>
      </c>
      <c r="J300" t="s">
        <v>118</v>
      </c>
      <c r="K300" t="s">
        <v>15</v>
      </c>
    </row>
    <row r="301" spans="1:11" x14ac:dyDescent="0.25">
      <c r="A301" t="s">
        <v>119</v>
      </c>
      <c r="B301" t="s">
        <v>11</v>
      </c>
      <c r="C301">
        <v>5</v>
      </c>
      <c r="D301">
        <v>4</v>
      </c>
      <c r="E301">
        <v>5</v>
      </c>
      <c r="F301">
        <f>Tabla2[[#This Row],[Score Best Ever]]/Tabla2[[#This Row],[Points Possible]]*100</f>
        <v>80</v>
      </c>
      <c r="G301">
        <v>2</v>
      </c>
      <c r="H301" t="s">
        <v>12</v>
      </c>
      <c r="I301" t="s">
        <v>13</v>
      </c>
      <c r="J301" t="s">
        <v>120</v>
      </c>
      <c r="K301" t="s">
        <v>15</v>
      </c>
    </row>
    <row r="302" spans="1:11" x14ac:dyDescent="0.25">
      <c r="A302" t="s">
        <v>119</v>
      </c>
      <c r="B302" t="s">
        <v>17</v>
      </c>
      <c r="C302">
        <v>4</v>
      </c>
      <c r="D302">
        <v>4</v>
      </c>
      <c r="E302">
        <v>5</v>
      </c>
      <c r="F302">
        <f>Tabla2[[#This Row],[Score Best Ever]]/Tabla2[[#This Row],[Points Possible]]*100</f>
        <v>80</v>
      </c>
      <c r="G302">
        <v>3</v>
      </c>
      <c r="H302" t="s">
        <v>22</v>
      </c>
      <c r="I302" t="s">
        <v>13</v>
      </c>
      <c r="J302" t="s">
        <v>120</v>
      </c>
      <c r="K302" t="s">
        <v>15</v>
      </c>
    </row>
    <row r="303" spans="1:11" x14ac:dyDescent="0.25">
      <c r="A303" t="s">
        <v>119</v>
      </c>
      <c r="B303" t="s">
        <v>19</v>
      </c>
      <c r="C303">
        <v>4</v>
      </c>
      <c r="D303">
        <v>5</v>
      </c>
      <c r="E303">
        <v>5</v>
      </c>
      <c r="F303">
        <f>Tabla2[[#This Row],[Score Best Ever]]/Tabla2[[#This Row],[Points Possible]]*100</f>
        <v>100</v>
      </c>
      <c r="G303">
        <v>3</v>
      </c>
      <c r="H303" t="s">
        <v>50</v>
      </c>
      <c r="I303" t="s">
        <v>13</v>
      </c>
      <c r="J303" t="s">
        <v>120</v>
      </c>
      <c r="K303" t="s">
        <v>15</v>
      </c>
    </row>
    <row r="304" spans="1:11" x14ac:dyDescent="0.25">
      <c r="A304" t="s">
        <v>119</v>
      </c>
      <c r="B304" t="s">
        <v>21</v>
      </c>
      <c r="C304">
        <v>4</v>
      </c>
      <c r="D304">
        <v>2</v>
      </c>
      <c r="E304">
        <v>5</v>
      </c>
      <c r="F304">
        <f>Tabla2[[#This Row],[Score Best Ever]]/Tabla2[[#This Row],[Points Possible]]*100</f>
        <v>40</v>
      </c>
      <c r="G304">
        <v>1</v>
      </c>
      <c r="H304" t="s">
        <v>25</v>
      </c>
      <c r="I304" t="s">
        <v>13</v>
      </c>
      <c r="J304" t="s">
        <v>120</v>
      </c>
      <c r="K304" t="s">
        <v>15</v>
      </c>
    </row>
    <row r="305" spans="1:11" x14ac:dyDescent="0.25">
      <c r="A305" t="s">
        <v>119</v>
      </c>
      <c r="B305" t="s">
        <v>23</v>
      </c>
      <c r="C305">
        <v>5</v>
      </c>
      <c r="D305">
        <v>4</v>
      </c>
      <c r="E305">
        <v>5</v>
      </c>
      <c r="F305">
        <f>Tabla2[[#This Row],[Score Best Ever]]/Tabla2[[#This Row],[Points Possible]]*100</f>
        <v>80</v>
      </c>
      <c r="G305">
        <v>1</v>
      </c>
      <c r="H305" t="s">
        <v>12</v>
      </c>
      <c r="I305" t="s">
        <v>13</v>
      </c>
      <c r="J305" t="s">
        <v>120</v>
      </c>
      <c r="K305" t="s">
        <v>15</v>
      </c>
    </row>
    <row r="306" spans="1:11" x14ac:dyDescent="0.25">
      <c r="A306" t="s">
        <v>119</v>
      </c>
      <c r="B306" t="s">
        <v>24</v>
      </c>
      <c r="C306">
        <v>4</v>
      </c>
      <c r="D306">
        <v>5</v>
      </c>
      <c r="E306">
        <v>5</v>
      </c>
      <c r="F306">
        <f>Tabla2[[#This Row],[Score Best Ever]]/Tabla2[[#This Row],[Points Possible]]*100</f>
        <v>100</v>
      </c>
      <c r="G306">
        <v>1</v>
      </c>
      <c r="H306" t="s">
        <v>25</v>
      </c>
      <c r="I306" t="s">
        <v>13</v>
      </c>
      <c r="J306" t="s">
        <v>120</v>
      </c>
      <c r="K306" t="s">
        <v>15</v>
      </c>
    </row>
    <row r="307" spans="1:11" x14ac:dyDescent="0.25">
      <c r="A307" t="s">
        <v>119</v>
      </c>
      <c r="B307" t="s">
        <v>27</v>
      </c>
      <c r="C307">
        <v>4</v>
      </c>
      <c r="D307">
        <v>2</v>
      </c>
      <c r="E307">
        <v>5</v>
      </c>
      <c r="F307">
        <f>Tabla2[[#This Row],[Score Best Ever]]/Tabla2[[#This Row],[Points Possible]]*100</f>
        <v>40</v>
      </c>
      <c r="G307">
        <v>1</v>
      </c>
      <c r="H307" t="s">
        <v>25</v>
      </c>
      <c r="I307" t="s">
        <v>13</v>
      </c>
      <c r="J307" t="s">
        <v>120</v>
      </c>
      <c r="K307" t="s">
        <v>15</v>
      </c>
    </row>
    <row r="308" spans="1:11" x14ac:dyDescent="0.25">
      <c r="A308" t="s">
        <v>119</v>
      </c>
      <c r="B308" t="s">
        <v>28</v>
      </c>
      <c r="C308">
        <v>3</v>
      </c>
      <c r="D308">
        <v>5</v>
      </c>
      <c r="E308">
        <v>5</v>
      </c>
      <c r="F308">
        <f>Tabla2[[#This Row],[Score Best Ever]]/Tabla2[[#This Row],[Points Possible]]*100</f>
        <v>100</v>
      </c>
      <c r="G308">
        <v>1</v>
      </c>
      <c r="H308" t="s">
        <v>18</v>
      </c>
      <c r="I308" t="s">
        <v>13</v>
      </c>
      <c r="J308" t="s">
        <v>120</v>
      </c>
      <c r="K308" t="s">
        <v>15</v>
      </c>
    </row>
    <row r="309" spans="1:11" x14ac:dyDescent="0.25">
      <c r="A309" t="s">
        <v>119</v>
      </c>
      <c r="B309" t="s">
        <v>30</v>
      </c>
      <c r="C309">
        <v>4</v>
      </c>
      <c r="D309">
        <v>4</v>
      </c>
      <c r="E309">
        <v>5</v>
      </c>
      <c r="F309">
        <f>Tabla2[[#This Row],[Score Best Ever]]/Tabla2[[#This Row],[Points Possible]]*100</f>
        <v>80</v>
      </c>
      <c r="G309">
        <v>2</v>
      </c>
      <c r="H309" t="s">
        <v>20</v>
      </c>
      <c r="I309" t="s">
        <v>13</v>
      </c>
      <c r="J309" t="s">
        <v>120</v>
      </c>
      <c r="K309" t="s">
        <v>15</v>
      </c>
    </row>
    <row r="310" spans="1:11" x14ac:dyDescent="0.25">
      <c r="A310" t="s">
        <v>119</v>
      </c>
      <c r="B310" t="s">
        <v>31</v>
      </c>
      <c r="C310">
        <v>4</v>
      </c>
      <c r="D310">
        <v>3</v>
      </c>
      <c r="E310">
        <v>5</v>
      </c>
      <c r="F310">
        <f>Tabla2[[#This Row],[Score Best Ever]]/Tabla2[[#This Row],[Points Possible]]*100</f>
        <v>60</v>
      </c>
      <c r="G310">
        <v>1</v>
      </c>
      <c r="H310" t="s">
        <v>25</v>
      </c>
      <c r="I310" t="s">
        <v>13</v>
      </c>
      <c r="J310" t="s">
        <v>120</v>
      </c>
      <c r="K310" t="s">
        <v>15</v>
      </c>
    </row>
    <row r="311" spans="1:11" x14ac:dyDescent="0.25">
      <c r="A311" t="s">
        <v>119</v>
      </c>
      <c r="B311" t="s">
        <v>35</v>
      </c>
      <c r="C311">
        <v>5</v>
      </c>
      <c r="D311">
        <v>4</v>
      </c>
      <c r="E311">
        <v>5</v>
      </c>
      <c r="F311">
        <f>Tabla2[[#This Row],[Score Best Ever]]/Tabla2[[#This Row],[Points Possible]]*100</f>
        <v>80</v>
      </c>
      <c r="G311">
        <v>3</v>
      </c>
      <c r="H311" t="s">
        <v>12</v>
      </c>
      <c r="I311" t="s">
        <v>13</v>
      </c>
      <c r="J311" t="s">
        <v>120</v>
      </c>
      <c r="K311" t="s">
        <v>15</v>
      </c>
    </row>
    <row r="312" spans="1:11" x14ac:dyDescent="0.25">
      <c r="A312" t="s">
        <v>119</v>
      </c>
      <c r="B312" t="s">
        <v>37</v>
      </c>
      <c r="C312">
        <v>5</v>
      </c>
      <c r="D312">
        <v>5</v>
      </c>
      <c r="E312">
        <v>5</v>
      </c>
      <c r="F312">
        <f>Tabla2[[#This Row],[Score Best Ever]]/Tabla2[[#This Row],[Points Possible]]*100</f>
        <v>100</v>
      </c>
      <c r="G312">
        <v>2</v>
      </c>
      <c r="H312" t="s">
        <v>12</v>
      </c>
      <c r="I312" t="s">
        <v>13</v>
      </c>
      <c r="J312" t="s">
        <v>120</v>
      </c>
      <c r="K312" t="s">
        <v>15</v>
      </c>
    </row>
    <row r="313" spans="1:11" x14ac:dyDescent="0.25">
      <c r="A313" t="s">
        <v>119</v>
      </c>
      <c r="B313" t="s">
        <v>38</v>
      </c>
      <c r="C313">
        <v>5</v>
      </c>
      <c r="D313">
        <v>5</v>
      </c>
      <c r="E313">
        <v>5</v>
      </c>
      <c r="F313">
        <f>Tabla2[[#This Row],[Score Best Ever]]/Tabla2[[#This Row],[Points Possible]]*100</f>
        <v>100</v>
      </c>
      <c r="G313">
        <v>11</v>
      </c>
      <c r="H313" t="s">
        <v>59</v>
      </c>
      <c r="I313" t="s">
        <v>13</v>
      </c>
      <c r="J313" t="s">
        <v>120</v>
      </c>
      <c r="K313" t="s">
        <v>15</v>
      </c>
    </row>
    <row r="314" spans="1:11" x14ac:dyDescent="0.25">
      <c r="A314" t="s">
        <v>119</v>
      </c>
      <c r="B314" t="s">
        <v>40</v>
      </c>
      <c r="C314">
        <v>4</v>
      </c>
      <c r="D314">
        <v>4</v>
      </c>
      <c r="E314">
        <v>5</v>
      </c>
      <c r="F314">
        <f>Tabla2[[#This Row],[Score Best Ever]]/Tabla2[[#This Row],[Points Possible]]*100</f>
        <v>80</v>
      </c>
      <c r="G314">
        <v>1</v>
      </c>
      <c r="H314" t="s">
        <v>25</v>
      </c>
      <c r="I314" t="s">
        <v>13</v>
      </c>
      <c r="J314" t="s">
        <v>120</v>
      </c>
      <c r="K314" t="s">
        <v>15</v>
      </c>
    </row>
    <row r="315" spans="1:11" x14ac:dyDescent="0.25">
      <c r="A315" t="s">
        <v>119</v>
      </c>
      <c r="B315" t="s">
        <v>41</v>
      </c>
      <c r="C315">
        <v>4</v>
      </c>
      <c r="D315">
        <v>3</v>
      </c>
      <c r="E315">
        <v>5</v>
      </c>
      <c r="F315">
        <f>Tabla2[[#This Row],[Score Best Ever]]/Tabla2[[#This Row],[Points Possible]]*100</f>
        <v>60</v>
      </c>
      <c r="G315">
        <v>1</v>
      </c>
      <c r="H315" t="s">
        <v>25</v>
      </c>
      <c r="I315" t="s">
        <v>13</v>
      </c>
      <c r="J315" t="s">
        <v>120</v>
      </c>
      <c r="K315" t="s">
        <v>15</v>
      </c>
    </row>
    <row r="316" spans="1:11" x14ac:dyDescent="0.25">
      <c r="A316" t="s">
        <v>119</v>
      </c>
      <c r="B316" t="s">
        <v>42</v>
      </c>
      <c r="C316">
        <v>5</v>
      </c>
      <c r="D316">
        <v>5</v>
      </c>
      <c r="E316">
        <v>5</v>
      </c>
      <c r="F316">
        <f>Tabla2[[#This Row],[Score Best Ever]]/Tabla2[[#This Row],[Points Possible]]*100</f>
        <v>100</v>
      </c>
      <c r="G316">
        <v>4</v>
      </c>
      <c r="H316" t="s">
        <v>121</v>
      </c>
      <c r="I316" t="s">
        <v>13</v>
      </c>
      <c r="J316" t="s">
        <v>120</v>
      </c>
      <c r="K316" t="s">
        <v>15</v>
      </c>
    </row>
    <row r="317" spans="1:11" x14ac:dyDescent="0.25">
      <c r="A317" t="s">
        <v>119</v>
      </c>
      <c r="B317" t="s">
        <v>43</v>
      </c>
      <c r="C317">
        <v>5</v>
      </c>
      <c r="D317">
        <v>5</v>
      </c>
      <c r="E317">
        <v>5</v>
      </c>
      <c r="F317">
        <f>Tabla2[[#This Row],[Score Best Ever]]/Tabla2[[#This Row],[Points Possible]]*100</f>
        <v>100</v>
      </c>
      <c r="G317">
        <v>3</v>
      </c>
      <c r="H317" t="s">
        <v>18</v>
      </c>
      <c r="I317" t="s">
        <v>13</v>
      </c>
      <c r="J317" t="s">
        <v>120</v>
      </c>
      <c r="K317" t="s">
        <v>15</v>
      </c>
    </row>
    <row r="318" spans="1:11" x14ac:dyDescent="0.25">
      <c r="A318" t="s">
        <v>122</v>
      </c>
      <c r="B318" t="s">
        <v>11</v>
      </c>
      <c r="C318">
        <v>4</v>
      </c>
      <c r="D318">
        <v>5</v>
      </c>
      <c r="E318">
        <v>5</v>
      </c>
      <c r="F318">
        <f>Tabla2[[#This Row],[Score Best Ever]]/Tabla2[[#This Row],[Points Possible]]*100</f>
        <v>100</v>
      </c>
      <c r="G318">
        <v>2</v>
      </c>
      <c r="H318" t="s">
        <v>25</v>
      </c>
      <c r="I318" t="s">
        <v>13</v>
      </c>
      <c r="J318" t="s">
        <v>123</v>
      </c>
      <c r="K318" t="s">
        <v>15</v>
      </c>
    </row>
    <row r="319" spans="1:11" x14ac:dyDescent="0.25">
      <c r="A319" t="s">
        <v>122</v>
      </c>
      <c r="B319" t="s">
        <v>17</v>
      </c>
      <c r="C319">
        <v>5</v>
      </c>
      <c r="D319">
        <v>4</v>
      </c>
      <c r="E319">
        <v>5</v>
      </c>
      <c r="F319">
        <f>Tabla2[[#This Row],[Score Best Ever]]/Tabla2[[#This Row],[Points Possible]]*100</f>
        <v>80</v>
      </c>
      <c r="G319">
        <v>5</v>
      </c>
      <c r="H319" t="s">
        <v>18</v>
      </c>
      <c r="I319" t="s">
        <v>13</v>
      </c>
      <c r="J319" t="s">
        <v>123</v>
      </c>
      <c r="K319" t="s">
        <v>15</v>
      </c>
    </row>
    <row r="320" spans="1:11" x14ac:dyDescent="0.25">
      <c r="A320" t="s">
        <v>122</v>
      </c>
      <c r="B320" t="s">
        <v>19</v>
      </c>
      <c r="C320">
        <v>5</v>
      </c>
      <c r="D320">
        <v>5</v>
      </c>
      <c r="E320">
        <v>5</v>
      </c>
      <c r="F320">
        <f>Tabla2[[#This Row],[Score Best Ever]]/Tabla2[[#This Row],[Points Possible]]*100</f>
        <v>100</v>
      </c>
      <c r="G320">
        <v>4</v>
      </c>
      <c r="H320" t="s">
        <v>18</v>
      </c>
      <c r="I320" t="s">
        <v>13</v>
      </c>
      <c r="J320" t="s">
        <v>123</v>
      </c>
      <c r="K320" t="s">
        <v>15</v>
      </c>
    </row>
    <row r="321" spans="1:11" x14ac:dyDescent="0.25">
      <c r="A321" t="s">
        <v>122</v>
      </c>
      <c r="B321" t="s">
        <v>21</v>
      </c>
      <c r="C321">
        <v>4</v>
      </c>
      <c r="D321">
        <v>3</v>
      </c>
      <c r="E321">
        <v>5</v>
      </c>
      <c r="F321">
        <f>Tabla2[[#This Row],[Score Best Ever]]/Tabla2[[#This Row],[Points Possible]]*100</f>
        <v>60</v>
      </c>
      <c r="G321">
        <v>1</v>
      </c>
      <c r="H321" t="s">
        <v>47</v>
      </c>
      <c r="I321" t="s">
        <v>13</v>
      </c>
      <c r="J321" t="s">
        <v>123</v>
      </c>
      <c r="K321" t="s">
        <v>15</v>
      </c>
    </row>
    <row r="322" spans="1:11" x14ac:dyDescent="0.25">
      <c r="A322" t="s">
        <v>122</v>
      </c>
      <c r="B322" t="s">
        <v>23</v>
      </c>
      <c r="C322">
        <v>4</v>
      </c>
      <c r="D322">
        <v>5</v>
      </c>
      <c r="E322">
        <v>5</v>
      </c>
      <c r="F322">
        <f>Tabla2[[#This Row],[Score Best Ever]]/Tabla2[[#This Row],[Points Possible]]*100</f>
        <v>100</v>
      </c>
      <c r="G322">
        <v>5</v>
      </c>
      <c r="H322" t="s">
        <v>50</v>
      </c>
      <c r="I322" t="s">
        <v>13</v>
      </c>
      <c r="J322" t="s">
        <v>123</v>
      </c>
      <c r="K322" t="s">
        <v>15</v>
      </c>
    </row>
    <row r="323" spans="1:11" x14ac:dyDescent="0.25">
      <c r="A323" t="s">
        <v>122</v>
      </c>
      <c r="B323" t="s">
        <v>24</v>
      </c>
      <c r="C323">
        <v>4</v>
      </c>
      <c r="D323">
        <v>3</v>
      </c>
      <c r="E323">
        <v>5</v>
      </c>
      <c r="F323">
        <f>Tabla2[[#This Row],[Score Best Ever]]/Tabla2[[#This Row],[Points Possible]]*100</f>
        <v>60</v>
      </c>
      <c r="G323">
        <v>1</v>
      </c>
      <c r="H323" t="s">
        <v>47</v>
      </c>
      <c r="I323" t="s">
        <v>13</v>
      </c>
      <c r="J323" t="s">
        <v>123</v>
      </c>
      <c r="K323" t="s">
        <v>15</v>
      </c>
    </row>
    <row r="324" spans="1:11" x14ac:dyDescent="0.25">
      <c r="A324" t="s">
        <v>122</v>
      </c>
      <c r="B324" t="s">
        <v>27</v>
      </c>
      <c r="C324">
        <v>4</v>
      </c>
      <c r="D324">
        <v>4</v>
      </c>
      <c r="E324">
        <v>5</v>
      </c>
      <c r="F324">
        <f>Tabla2[[#This Row],[Score Best Ever]]/Tabla2[[#This Row],[Points Possible]]*100</f>
        <v>80</v>
      </c>
      <c r="G324">
        <v>1</v>
      </c>
      <c r="H324" t="s">
        <v>47</v>
      </c>
      <c r="I324" t="s">
        <v>13</v>
      </c>
      <c r="J324" t="s">
        <v>123</v>
      </c>
      <c r="K324" t="s">
        <v>15</v>
      </c>
    </row>
    <row r="325" spans="1:11" x14ac:dyDescent="0.25">
      <c r="A325" t="s">
        <v>122</v>
      </c>
      <c r="B325" t="s">
        <v>28</v>
      </c>
      <c r="C325">
        <v>5</v>
      </c>
      <c r="D325">
        <v>3</v>
      </c>
      <c r="E325">
        <v>5</v>
      </c>
      <c r="F325">
        <f>Tabla2[[#This Row],[Score Best Ever]]/Tabla2[[#This Row],[Points Possible]]*100</f>
        <v>60</v>
      </c>
      <c r="G325">
        <v>3</v>
      </c>
      <c r="H325" t="s">
        <v>12</v>
      </c>
      <c r="I325" t="s">
        <v>13</v>
      </c>
      <c r="J325" t="s">
        <v>123</v>
      </c>
      <c r="K325" t="s">
        <v>15</v>
      </c>
    </row>
    <row r="326" spans="1:11" x14ac:dyDescent="0.25">
      <c r="A326" t="s">
        <v>122</v>
      </c>
      <c r="B326" t="s">
        <v>30</v>
      </c>
      <c r="C326">
        <v>4</v>
      </c>
      <c r="D326">
        <v>4</v>
      </c>
      <c r="E326">
        <v>5</v>
      </c>
      <c r="F326">
        <f>Tabla2[[#This Row],[Score Best Ever]]/Tabla2[[#This Row],[Points Possible]]*100</f>
        <v>80</v>
      </c>
      <c r="G326">
        <v>4</v>
      </c>
      <c r="H326" t="s">
        <v>22</v>
      </c>
      <c r="I326" t="s">
        <v>13</v>
      </c>
      <c r="J326" t="s">
        <v>123</v>
      </c>
      <c r="K326" t="s">
        <v>15</v>
      </c>
    </row>
    <row r="327" spans="1:11" x14ac:dyDescent="0.25">
      <c r="A327" t="s">
        <v>122</v>
      </c>
      <c r="B327" t="s">
        <v>31</v>
      </c>
      <c r="C327">
        <v>4</v>
      </c>
      <c r="D327">
        <v>4</v>
      </c>
      <c r="E327">
        <v>5</v>
      </c>
      <c r="F327">
        <f>Tabla2[[#This Row],[Score Best Ever]]/Tabla2[[#This Row],[Points Possible]]*100</f>
        <v>80</v>
      </c>
      <c r="G327">
        <v>1</v>
      </c>
      <c r="H327" t="s">
        <v>47</v>
      </c>
      <c r="I327" t="s">
        <v>13</v>
      </c>
      <c r="J327" t="s">
        <v>123</v>
      </c>
      <c r="K327" t="s">
        <v>15</v>
      </c>
    </row>
    <row r="328" spans="1:11" x14ac:dyDescent="0.25">
      <c r="A328" t="s">
        <v>122</v>
      </c>
      <c r="B328" t="s">
        <v>35</v>
      </c>
      <c r="C328">
        <v>4</v>
      </c>
      <c r="D328">
        <v>4</v>
      </c>
      <c r="E328">
        <v>5</v>
      </c>
      <c r="F328">
        <f>Tabla2[[#This Row],[Score Best Ever]]/Tabla2[[#This Row],[Points Possible]]*100</f>
        <v>80</v>
      </c>
      <c r="G328">
        <v>1</v>
      </c>
      <c r="H328" t="s">
        <v>47</v>
      </c>
      <c r="I328" t="s">
        <v>13</v>
      </c>
      <c r="J328" t="s">
        <v>123</v>
      </c>
      <c r="K328" t="s">
        <v>15</v>
      </c>
    </row>
    <row r="329" spans="1:11" x14ac:dyDescent="0.25">
      <c r="A329" t="s">
        <v>122</v>
      </c>
      <c r="B329" t="s">
        <v>36</v>
      </c>
      <c r="C329">
        <v>4</v>
      </c>
      <c r="D329">
        <v>4</v>
      </c>
      <c r="E329">
        <v>5</v>
      </c>
      <c r="F329">
        <f>Tabla2[[#This Row],[Score Best Ever]]/Tabla2[[#This Row],[Points Possible]]*100</f>
        <v>80</v>
      </c>
      <c r="G329">
        <v>1</v>
      </c>
      <c r="H329" t="s">
        <v>47</v>
      </c>
      <c r="I329" t="s">
        <v>13</v>
      </c>
      <c r="J329" t="s">
        <v>123</v>
      </c>
      <c r="K329" t="s">
        <v>15</v>
      </c>
    </row>
    <row r="330" spans="1:11" x14ac:dyDescent="0.25">
      <c r="A330" t="s">
        <v>122</v>
      </c>
      <c r="B330" t="s">
        <v>37</v>
      </c>
      <c r="C330">
        <v>5</v>
      </c>
      <c r="D330">
        <v>5</v>
      </c>
      <c r="E330">
        <v>5</v>
      </c>
      <c r="F330">
        <f>Tabla2[[#This Row],[Score Best Ever]]/Tabla2[[#This Row],[Points Possible]]*100</f>
        <v>100</v>
      </c>
      <c r="G330">
        <v>10</v>
      </c>
      <c r="H330" t="s">
        <v>54</v>
      </c>
      <c r="I330" t="s">
        <v>13</v>
      </c>
      <c r="J330" t="s">
        <v>123</v>
      </c>
      <c r="K330" t="s">
        <v>15</v>
      </c>
    </row>
    <row r="331" spans="1:11" x14ac:dyDescent="0.25">
      <c r="A331" t="s">
        <v>122</v>
      </c>
      <c r="B331" t="s">
        <v>38</v>
      </c>
      <c r="C331">
        <v>5</v>
      </c>
      <c r="D331">
        <v>5</v>
      </c>
      <c r="E331">
        <v>5</v>
      </c>
      <c r="F331">
        <f>Tabla2[[#This Row],[Score Best Ever]]/Tabla2[[#This Row],[Points Possible]]*100</f>
        <v>100</v>
      </c>
      <c r="G331">
        <v>3</v>
      </c>
      <c r="H331" t="s">
        <v>12</v>
      </c>
      <c r="I331" t="s">
        <v>13</v>
      </c>
      <c r="J331" t="s">
        <v>123</v>
      </c>
      <c r="K331" t="s">
        <v>15</v>
      </c>
    </row>
    <row r="332" spans="1:11" x14ac:dyDescent="0.25">
      <c r="A332" t="s">
        <v>122</v>
      </c>
      <c r="B332" t="s">
        <v>40</v>
      </c>
      <c r="C332">
        <v>4</v>
      </c>
      <c r="D332">
        <v>5</v>
      </c>
      <c r="E332">
        <v>5</v>
      </c>
      <c r="F332">
        <f>Tabla2[[#This Row],[Score Best Ever]]/Tabla2[[#This Row],[Points Possible]]*100</f>
        <v>100</v>
      </c>
      <c r="G332">
        <v>2</v>
      </c>
      <c r="H332" t="s">
        <v>25</v>
      </c>
      <c r="I332" t="s">
        <v>13</v>
      </c>
      <c r="J332" t="s">
        <v>123</v>
      </c>
      <c r="K332" t="s">
        <v>15</v>
      </c>
    </row>
    <row r="333" spans="1:11" x14ac:dyDescent="0.25">
      <c r="A333" t="s">
        <v>122</v>
      </c>
      <c r="B333" t="s">
        <v>41</v>
      </c>
      <c r="C333">
        <v>4</v>
      </c>
      <c r="D333">
        <v>3</v>
      </c>
      <c r="E333">
        <v>5</v>
      </c>
      <c r="F333">
        <f>Tabla2[[#This Row],[Score Best Ever]]/Tabla2[[#This Row],[Points Possible]]*100</f>
        <v>60</v>
      </c>
      <c r="G333">
        <v>1</v>
      </c>
      <c r="H333" t="s">
        <v>47</v>
      </c>
      <c r="I333" t="s">
        <v>13</v>
      </c>
      <c r="J333" t="s">
        <v>123</v>
      </c>
      <c r="K333" t="s">
        <v>15</v>
      </c>
    </row>
    <row r="334" spans="1:11" x14ac:dyDescent="0.25">
      <c r="A334" t="s">
        <v>122</v>
      </c>
      <c r="B334" t="s">
        <v>42</v>
      </c>
      <c r="C334">
        <v>4</v>
      </c>
      <c r="D334">
        <v>4</v>
      </c>
      <c r="E334">
        <v>5</v>
      </c>
      <c r="F334">
        <f>Tabla2[[#This Row],[Score Best Ever]]/Tabla2[[#This Row],[Points Possible]]*100</f>
        <v>80</v>
      </c>
      <c r="G334">
        <v>1</v>
      </c>
      <c r="H334" t="s">
        <v>47</v>
      </c>
      <c r="I334" t="s">
        <v>13</v>
      </c>
      <c r="J334" t="s">
        <v>123</v>
      </c>
      <c r="K334" t="s">
        <v>15</v>
      </c>
    </row>
    <row r="335" spans="1:11" x14ac:dyDescent="0.25">
      <c r="A335" t="s">
        <v>122</v>
      </c>
      <c r="B335" t="s">
        <v>43</v>
      </c>
      <c r="C335">
        <v>5</v>
      </c>
      <c r="D335">
        <v>5</v>
      </c>
      <c r="E335">
        <v>5</v>
      </c>
      <c r="F335">
        <f>Tabla2[[#This Row],[Score Best Ever]]/Tabla2[[#This Row],[Points Possible]]*100</f>
        <v>100</v>
      </c>
      <c r="G335">
        <v>2</v>
      </c>
      <c r="H335" t="s">
        <v>12</v>
      </c>
      <c r="I335" t="s">
        <v>13</v>
      </c>
      <c r="J335" t="s">
        <v>123</v>
      </c>
      <c r="K335" t="s">
        <v>15</v>
      </c>
    </row>
    <row r="336" spans="1:11" x14ac:dyDescent="0.25">
      <c r="A336" t="s">
        <v>124</v>
      </c>
      <c r="B336" t="s">
        <v>11</v>
      </c>
      <c r="C336">
        <v>5</v>
      </c>
      <c r="D336">
        <v>6</v>
      </c>
      <c r="E336">
        <v>6</v>
      </c>
      <c r="F336">
        <f>Tabla2[[#This Row],[Score Best Ever]]/Tabla2[[#This Row],[Points Possible]]*100</f>
        <v>100</v>
      </c>
      <c r="G336">
        <v>1</v>
      </c>
      <c r="H336" t="s">
        <v>12</v>
      </c>
      <c r="I336" t="s">
        <v>13</v>
      </c>
      <c r="J336" t="s">
        <v>125</v>
      </c>
      <c r="K336" t="s">
        <v>15</v>
      </c>
    </row>
    <row r="337" spans="1:11" x14ac:dyDescent="0.25">
      <c r="A337" t="s">
        <v>124</v>
      </c>
      <c r="B337" t="s">
        <v>17</v>
      </c>
      <c r="C337">
        <v>4</v>
      </c>
      <c r="D337">
        <v>5</v>
      </c>
      <c r="E337">
        <v>6</v>
      </c>
      <c r="F337">
        <f>Tabla2[[#This Row],[Score Best Ever]]/Tabla2[[#This Row],[Points Possible]]*100</f>
        <v>83.333333333333343</v>
      </c>
      <c r="G337">
        <v>1</v>
      </c>
      <c r="H337" t="s">
        <v>22</v>
      </c>
      <c r="I337" t="s">
        <v>13</v>
      </c>
      <c r="J337" t="s">
        <v>125</v>
      </c>
      <c r="K337" t="s">
        <v>15</v>
      </c>
    </row>
    <row r="338" spans="1:11" x14ac:dyDescent="0.25">
      <c r="A338" t="s">
        <v>124</v>
      </c>
      <c r="B338" t="s">
        <v>19</v>
      </c>
      <c r="C338">
        <v>5</v>
      </c>
      <c r="D338">
        <v>5</v>
      </c>
      <c r="E338">
        <v>6</v>
      </c>
      <c r="F338">
        <f>Tabla2[[#This Row],[Score Best Ever]]/Tabla2[[#This Row],[Points Possible]]*100</f>
        <v>83.333333333333343</v>
      </c>
      <c r="G338">
        <v>4</v>
      </c>
      <c r="H338" t="s">
        <v>44</v>
      </c>
      <c r="I338" t="s">
        <v>13</v>
      </c>
      <c r="J338" t="s">
        <v>125</v>
      </c>
      <c r="K338" t="s">
        <v>15</v>
      </c>
    </row>
    <row r="339" spans="1:11" x14ac:dyDescent="0.25">
      <c r="A339" t="s">
        <v>124</v>
      </c>
      <c r="B339" t="s">
        <v>21</v>
      </c>
      <c r="C339">
        <v>4</v>
      </c>
      <c r="D339">
        <v>6</v>
      </c>
      <c r="E339">
        <v>6</v>
      </c>
      <c r="F339">
        <f>Tabla2[[#This Row],[Score Best Ever]]/Tabla2[[#This Row],[Points Possible]]*100</f>
        <v>100</v>
      </c>
      <c r="G339">
        <v>1</v>
      </c>
      <c r="H339" t="s">
        <v>25</v>
      </c>
      <c r="I339" t="s">
        <v>13</v>
      </c>
      <c r="J339" t="s">
        <v>125</v>
      </c>
      <c r="K339" t="s">
        <v>15</v>
      </c>
    </row>
    <row r="340" spans="1:11" x14ac:dyDescent="0.25">
      <c r="A340" t="s">
        <v>124</v>
      </c>
      <c r="B340" t="s">
        <v>23</v>
      </c>
      <c r="C340">
        <v>5</v>
      </c>
      <c r="D340">
        <v>6</v>
      </c>
      <c r="E340">
        <v>6</v>
      </c>
      <c r="F340">
        <f>Tabla2[[#This Row],[Score Best Ever]]/Tabla2[[#This Row],[Points Possible]]*100</f>
        <v>100</v>
      </c>
      <c r="G340">
        <v>3</v>
      </c>
      <c r="H340" t="s">
        <v>18</v>
      </c>
      <c r="I340" t="s">
        <v>13</v>
      </c>
      <c r="J340" t="s">
        <v>125</v>
      </c>
      <c r="K340" t="s">
        <v>15</v>
      </c>
    </row>
    <row r="341" spans="1:11" x14ac:dyDescent="0.25">
      <c r="A341" t="s">
        <v>124</v>
      </c>
      <c r="B341" t="s">
        <v>24</v>
      </c>
      <c r="C341">
        <v>5</v>
      </c>
      <c r="D341">
        <v>5</v>
      </c>
      <c r="E341">
        <v>6</v>
      </c>
      <c r="F341">
        <f>Tabla2[[#This Row],[Score Best Ever]]/Tabla2[[#This Row],[Points Possible]]*100</f>
        <v>83.333333333333343</v>
      </c>
      <c r="G341">
        <v>1</v>
      </c>
      <c r="H341" t="s">
        <v>12</v>
      </c>
      <c r="I341" t="s">
        <v>13</v>
      </c>
      <c r="J341" t="s">
        <v>125</v>
      </c>
      <c r="K341" t="s">
        <v>15</v>
      </c>
    </row>
    <row r="342" spans="1:11" x14ac:dyDescent="0.25">
      <c r="A342" t="s">
        <v>124</v>
      </c>
      <c r="B342" t="s">
        <v>27</v>
      </c>
      <c r="C342">
        <v>4</v>
      </c>
      <c r="D342">
        <v>5</v>
      </c>
      <c r="E342">
        <v>6</v>
      </c>
      <c r="F342">
        <f>Tabla2[[#This Row],[Score Best Ever]]/Tabla2[[#This Row],[Points Possible]]*100</f>
        <v>83.333333333333343</v>
      </c>
      <c r="G342">
        <v>1</v>
      </c>
      <c r="H342" t="s">
        <v>25</v>
      </c>
      <c r="I342" t="s">
        <v>13</v>
      </c>
      <c r="J342" t="s">
        <v>125</v>
      </c>
      <c r="K342" t="s">
        <v>15</v>
      </c>
    </row>
    <row r="343" spans="1:11" x14ac:dyDescent="0.25">
      <c r="A343" t="s">
        <v>124</v>
      </c>
      <c r="B343" t="s">
        <v>28</v>
      </c>
      <c r="C343">
        <v>4</v>
      </c>
      <c r="D343">
        <v>4</v>
      </c>
      <c r="E343">
        <v>6</v>
      </c>
      <c r="F343">
        <f>Tabla2[[#This Row],[Score Best Ever]]/Tabla2[[#This Row],[Points Possible]]*100</f>
        <v>66.666666666666657</v>
      </c>
      <c r="G343">
        <v>1</v>
      </c>
      <c r="H343" t="s">
        <v>20</v>
      </c>
      <c r="I343" t="s">
        <v>13</v>
      </c>
      <c r="J343" t="s">
        <v>125</v>
      </c>
      <c r="K343" t="s">
        <v>15</v>
      </c>
    </row>
    <row r="344" spans="1:11" x14ac:dyDescent="0.25">
      <c r="A344" t="s">
        <v>124</v>
      </c>
      <c r="B344" t="s">
        <v>30</v>
      </c>
      <c r="C344">
        <v>5</v>
      </c>
      <c r="D344">
        <v>4</v>
      </c>
      <c r="E344">
        <v>6</v>
      </c>
      <c r="F344">
        <f>Tabla2[[#This Row],[Score Best Ever]]/Tabla2[[#This Row],[Points Possible]]*100</f>
        <v>66.666666666666657</v>
      </c>
      <c r="G344">
        <v>2</v>
      </c>
      <c r="H344" t="s">
        <v>50</v>
      </c>
      <c r="I344" t="s">
        <v>13</v>
      </c>
      <c r="J344" t="s">
        <v>125</v>
      </c>
      <c r="K344" t="s">
        <v>15</v>
      </c>
    </row>
    <row r="345" spans="1:11" x14ac:dyDescent="0.25">
      <c r="A345" t="s">
        <v>124</v>
      </c>
      <c r="B345" t="s">
        <v>31</v>
      </c>
      <c r="C345">
        <v>4</v>
      </c>
      <c r="D345">
        <v>6</v>
      </c>
      <c r="E345">
        <v>6</v>
      </c>
      <c r="F345">
        <f>Tabla2[[#This Row],[Score Best Ever]]/Tabla2[[#This Row],[Points Possible]]*100</f>
        <v>100</v>
      </c>
      <c r="G345">
        <v>1</v>
      </c>
      <c r="H345" t="s">
        <v>25</v>
      </c>
      <c r="I345" t="s">
        <v>13</v>
      </c>
      <c r="J345" t="s">
        <v>125</v>
      </c>
      <c r="K345" t="s">
        <v>15</v>
      </c>
    </row>
    <row r="346" spans="1:11" x14ac:dyDescent="0.25">
      <c r="A346" t="s">
        <v>124</v>
      </c>
      <c r="B346" t="s">
        <v>35</v>
      </c>
      <c r="C346">
        <v>5</v>
      </c>
      <c r="D346">
        <v>4</v>
      </c>
      <c r="E346">
        <v>6</v>
      </c>
      <c r="F346">
        <f>Tabla2[[#This Row],[Score Best Ever]]/Tabla2[[#This Row],[Points Possible]]*100</f>
        <v>66.666666666666657</v>
      </c>
      <c r="G346">
        <v>6</v>
      </c>
      <c r="H346" t="s">
        <v>48</v>
      </c>
      <c r="I346" t="s">
        <v>13</v>
      </c>
      <c r="J346" t="s">
        <v>125</v>
      </c>
      <c r="K346" t="s">
        <v>15</v>
      </c>
    </row>
    <row r="347" spans="1:11" x14ac:dyDescent="0.25">
      <c r="A347" t="s">
        <v>124</v>
      </c>
      <c r="B347" t="s">
        <v>36</v>
      </c>
      <c r="C347">
        <v>4</v>
      </c>
      <c r="D347">
        <v>6</v>
      </c>
      <c r="E347">
        <v>6</v>
      </c>
      <c r="F347">
        <f>Tabla2[[#This Row],[Score Best Ever]]/Tabla2[[#This Row],[Points Possible]]*100</f>
        <v>100</v>
      </c>
      <c r="G347">
        <v>1</v>
      </c>
      <c r="H347" t="s">
        <v>25</v>
      </c>
      <c r="I347" t="s">
        <v>13</v>
      </c>
      <c r="J347" t="s">
        <v>125</v>
      </c>
      <c r="K347" t="s">
        <v>15</v>
      </c>
    </row>
    <row r="348" spans="1:11" x14ac:dyDescent="0.25">
      <c r="A348" t="s">
        <v>124</v>
      </c>
      <c r="B348" t="s">
        <v>37</v>
      </c>
      <c r="C348">
        <v>4</v>
      </c>
      <c r="D348">
        <v>6</v>
      </c>
      <c r="E348">
        <v>6</v>
      </c>
      <c r="F348">
        <f>Tabla2[[#This Row],[Score Best Ever]]/Tabla2[[#This Row],[Points Possible]]*100</f>
        <v>100</v>
      </c>
      <c r="G348">
        <v>3</v>
      </c>
      <c r="H348" t="s">
        <v>126</v>
      </c>
      <c r="I348" t="s">
        <v>13</v>
      </c>
      <c r="J348" t="s">
        <v>125</v>
      </c>
      <c r="K348" t="s">
        <v>15</v>
      </c>
    </row>
    <row r="349" spans="1:11" x14ac:dyDescent="0.25">
      <c r="A349" t="s">
        <v>124</v>
      </c>
      <c r="B349" t="s">
        <v>38</v>
      </c>
      <c r="C349">
        <v>5</v>
      </c>
      <c r="D349">
        <v>6</v>
      </c>
      <c r="E349">
        <v>6</v>
      </c>
      <c r="F349">
        <f>Tabla2[[#This Row],[Score Best Ever]]/Tabla2[[#This Row],[Points Possible]]*100</f>
        <v>100</v>
      </c>
      <c r="G349">
        <v>8</v>
      </c>
      <c r="H349" t="s">
        <v>48</v>
      </c>
      <c r="I349" t="s">
        <v>13</v>
      </c>
      <c r="J349" t="s">
        <v>125</v>
      </c>
      <c r="K349" t="s">
        <v>15</v>
      </c>
    </row>
    <row r="350" spans="1:11" x14ac:dyDescent="0.25">
      <c r="A350" t="s">
        <v>124</v>
      </c>
      <c r="B350" t="s">
        <v>40</v>
      </c>
      <c r="C350">
        <v>5</v>
      </c>
      <c r="D350">
        <v>6</v>
      </c>
      <c r="E350">
        <v>6</v>
      </c>
      <c r="F350">
        <f>Tabla2[[#This Row],[Score Best Ever]]/Tabla2[[#This Row],[Points Possible]]*100</f>
        <v>100</v>
      </c>
      <c r="G350">
        <v>1</v>
      </c>
      <c r="H350" t="s">
        <v>12</v>
      </c>
      <c r="I350" t="s">
        <v>13</v>
      </c>
      <c r="J350" t="s">
        <v>125</v>
      </c>
      <c r="K350" t="s">
        <v>15</v>
      </c>
    </row>
    <row r="351" spans="1:11" x14ac:dyDescent="0.25">
      <c r="A351" t="s">
        <v>124</v>
      </c>
      <c r="B351" t="s">
        <v>41</v>
      </c>
      <c r="C351">
        <v>4</v>
      </c>
      <c r="D351">
        <v>3</v>
      </c>
      <c r="E351">
        <v>6</v>
      </c>
      <c r="F351">
        <f>Tabla2[[#This Row],[Score Best Ever]]/Tabla2[[#This Row],[Points Possible]]*100</f>
        <v>50</v>
      </c>
      <c r="G351">
        <v>1</v>
      </c>
      <c r="H351" t="s">
        <v>25</v>
      </c>
      <c r="I351" t="s">
        <v>13</v>
      </c>
      <c r="J351" t="s">
        <v>125</v>
      </c>
      <c r="K351" t="s">
        <v>15</v>
      </c>
    </row>
    <row r="352" spans="1:11" x14ac:dyDescent="0.25">
      <c r="A352" t="s">
        <v>124</v>
      </c>
      <c r="B352" t="s">
        <v>42</v>
      </c>
      <c r="C352">
        <v>4</v>
      </c>
      <c r="D352">
        <v>6</v>
      </c>
      <c r="E352">
        <v>6</v>
      </c>
      <c r="F352">
        <f>Tabla2[[#This Row],[Score Best Ever]]/Tabla2[[#This Row],[Points Possible]]*100</f>
        <v>100</v>
      </c>
      <c r="G352">
        <v>1</v>
      </c>
      <c r="H352" t="s">
        <v>25</v>
      </c>
      <c r="I352" t="s">
        <v>13</v>
      </c>
      <c r="J352" t="s">
        <v>125</v>
      </c>
      <c r="K352" t="s">
        <v>15</v>
      </c>
    </row>
    <row r="353" spans="1:11" x14ac:dyDescent="0.25">
      <c r="A353" t="s">
        <v>124</v>
      </c>
      <c r="B353" t="s">
        <v>43</v>
      </c>
      <c r="C353">
        <v>4</v>
      </c>
      <c r="D353">
        <v>6</v>
      </c>
      <c r="E353">
        <v>6</v>
      </c>
      <c r="F353">
        <f>Tabla2[[#This Row],[Score Best Ever]]/Tabla2[[#This Row],[Points Possible]]*100</f>
        <v>100</v>
      </c>
      <c r="G353">
        <v>2</v>
      </c>
      <c r="H353" t="s">
        <v>20</v>
      </c>
      <c r="I353" t="s">
        <v>13</v>
      </c>
      <c r="J353" t="s">
        <v>125</v>
      </c>
      <c r="K353" t="s">
        <v>15</v>
      </c>
    </row>
    <row r="354" spans="1:11" x14ac:dyDescent="0.25">
      <c r="A354" t="s">
        <v>127</v>
      </c>
      <c r="B354" t="s">
        <v>11</v>
      </c>
      <c r="C354">
        <v>4</v>
      </c>
      <c r="D354">
        <v>5</v>
      </c>
      <c r="E354">
        <v>5</v>
      </c>
      <c r="F354">
        <f>Tabla2[[#This Row],[Score Best Ever]]/Tabla2[[#This Row],[Points Possible]]*100</f>
        <v>100</v>
      </c>
      <c r="G354">
        <v>1</v>
      </c>
      <c r="H354" t="s">
        <v>20</v>
      </c>
      <c r="I354" t="s">
        <v>13</v>
      </c>
      <c r="J354" t="s">
        <v>128</v>
      </c>
      <c r="K354" t="s">
        <v>15</v>
      </c>
    </row>
    <row r="355" spans="1:11" x14ac:dyDescent="0.25">
      <c r="A355" t="s">
        <v>127</v>
      </c>
      <c r="B355" t="s">
        <v>17</v>
      </c>
      <c r="C355">
        <v>5</v>
      </c>
      <c r="D355">
        <v>4</v>
      </c>
      <c r="E355">
        <v>5</v>
      </c>
      <c r="F355">
        <f>Tabla2[[#This Row],[Score Best Ever]]/Tabla2[[#This Row],[Points Possible]]*100</f>
        <v>80</v>
      </c>
      <c r="G355">
        <v>3</v>
      </c>
      <c r="H355" t="s">
        <v>44</v>
      </c>
      <c r="I355" t="s">
        <v>13</v>
      </c>
      <c r="J355" t="s">
        <v>128</v>
      </c>
      <c r="K355" t="s">
        <v>15</v>
      </c>
    </row>
    <row r="356" spans="1:11" x14ac:dyDescent="0.25">
      <c r="A356" t="s">
        <v>127</v>
      </c>
      <c r="B356" t="s">
        <v>19</v>
      </c>
      <c r="C356">
        <v>4</v>
      </c>
      <c r="D356">
        <v>4</v>
      </c>
      <c r="E356">
        <v>5</v>
      </c>
      <c r="F356">
        <f>Tabla2[[#This Row],[Score Best Ever]]/Tabla2[[#This Row],[Points Possible]]*100</f>
        <v>80</v>
      </c>
      <c r="G356">
        <v>3</v>
      </c>
      <c r="H356" t="s">
        <v>39</v>
      </c>
      <c r="I356" t="s">
        <v>13</v>
      </c>
      <c r="J356" t="s">
        <v>128</v>
      </c>
      <c r="K356" t="s">
        <v>15</v>
      </c>
    </row>
    <row r="357" spans="1:11" x14ac:dyDescent="0.25">
      <c r="A357" t="s">
        <v>127</v>
      </c>
      <c r="B357" t="s">
        <v>21</v>
      </c>
      <c r="C357">
        <v>5</v>
      </c>
      <c r="D357">
        <v>3</v>
      </c>
      <c r="E357">
        <v>5</v>
      </c>
      <c r="F357">
        <f>Tabla2[[#This Row],[Score Best Ever]]/Tabla2[[#This Row],[Points Possible]]*100</f>
        <v>60</v>
      </c>
      <c r="G357">
        <v>1</v>
      </c>
      <c r="H357" t="s">
        <v>12</v>
      </c>
      <c r="I357" t="s">
        <v>13</v>
      </c>
      <c r="J357" t="s">
        <v>128</v>
      </c>
      <c r="K357" t="s">
        <v>15</v>
      </c>
    </row>
    <row r="358" spans="1:11" x14ac:dyDescent="0.25">
      <c r="A358" t="s">
        <v>127</v>
      </c>
      <c r="B358" t="s">
        <v>23</v>
      </c>
      <c r="C358">
        <v>5</v>
      </c>
      <c r="D358">
        <v>4</v>
      </c>
      <c r="E358">
        <v>5</v>
      </c>
      <c r="F358">
        <f>Tabla2[[#This Row],[Score Best Ever]]/Tabla2[[#This Row],[Points Possible]]*100</f>
        <v>80</v>
      </c>
      <c r="G358">
        <v>10</v>
      </c>
      <c r="H358" t="s">
        <v>129</v>
      </c>
      <c r="I358" t="s">
        <v>13</v>
      </c>
      <c r="J358" t="s">
        <v>128</v>
      </c>
      <c r="K358" t="s">
        <v>15</v>
      </c>
    </row>
    <row r="359" spans="1:11" x14ac:dyDescent="0.25">
      <c r="A359" t="s">
        <v>127</v>
      </c>
      <c r="B359" t="s">
        <v>24</v>
      </c>
      <c r="C359">
        <v>4</v>
      </c>
      <c r="D359">
        <v>3</v>
      </c>
      <c r="E359">
        <v>5</v>
      </c>
      <c r="F359">
        <f>Tabla2[[#This Row],[Score Best Ever]]/Tabla2[[#This Row],[Points Possible]]*100</f>
        <v>60</v>
      </c>
      <c r="G359">
        <v>1</v>
      </c>
      <c r="H359" t="s">
        <v>20</v>
      </c>
      <c r="I359" t="s">
        <v>13</v>
      </c>
      <c r="J359" t="s">
        <v>128</v>
      </c>
      <c r="K359" t="s">
        <v>15</v>
      </c>
    </row>
    <row r="360" spans="1:11" x14ac:dyDescent="0.25">
      <c r="A360" t="s">
        <v>127</v>
      </c>
      <c r="B360" t="s">
        <v>27</v>
      </c>
      <c r="C360">
        <v>5</v>
      </c>
      <c r="D360">
        <v>4</v>
      </c>
      <c r="E360">
        <v>5</v>
      </c>
      <c r="F360">
        <f>Tabla2[[#This Row],[Score Best Ever]]/Tabla2[[#This Row],[Points Possible]]*100</f>
        <v>80</v>
      </c>
      <c r="G360">
        <v>1</v>
      </c>
      <c r="H360" t="s">
        <v>12</v>
      </c>
      <c r="I360" t="s">
        <v>13</v>
      </c>
      <c r="J360" t="s">
        <v>128</v>
      </c>
      <c r="K360" t="s">
        <v>15</v>
      </c>
    </row>
    <row r="361" spans="1:11" x14ac:dyDescent="0.25">
      <c r="A361" t="s">
        <v>127</v>
      </c>
      <c r="B361" t="s">
        <v>28</v>
      </c>
      <c r="C361">
        <v>3</v>
      </c>
      <c r="D361">
        <v>2</v>
      </c>
      <c r="E361">
        <v>5</v>
      </c>
      <c r="F361">
        <f>Tabla2[[#This Row],[Score Best Ever]]/Tabla2[[#This Row],[Points Possible]]*100</f>
        <v>40</v>
      </c>
      <c r="G361">
        <v>1</v>
      </c>
      <c r="H361" t="s">
        <v>18</v>
      </c>
      <c r="I361" t="s">
        <v>13</v>
      </c>
      <c r="J361" t="s">
        <v>128</v>
      </c>
      <c r="K361" t="s">
        <v>15</v>
      </c>
    </row>
    <row r="362" spans="1:11" x14ac:dyDescent="0.25">
      <c r="A362" t="s">
        <v>127</v>
      </c>
      <c r="B362" t="s">
        <v>30</v>
      </c>
      <c r="D362">
        <v>4</v>
      </c>
      <c r="E362">
        <v>5</v>
      </c>
      <c r="F362">
        <f>Tabla2[[#This Row],[Score Best Ever]]/Tabla2[[#This Row],[Points Possible]]*100</f>
        <v>80</v>
      </c>
      <c r="G362">
        <v>0</v>
      </c>
      <c r="H362" t="s">
        <v>130</v>
      </c>
      <c r="I362" t="s">
        <v>13</v>
      </c>
      <c r="J362" t="s">
        <v>128</v>
      </c>
      <c r="K362" t="s">
        <v>15</v>
      </c>
    </row>
    <row r="363" spans="1:11" x14ac:dyDescent="0.25">
      <c r="A363" t="s">
        <v>127</v>
      </c>
      <c r="B363" t="s">
        <v>31</v>
      </c>
      <c r="C363">
        <v>5</v>
      </c>
      <c r="D363">
        <v>5</v>
      </c>
      <c r="E363">
        <v>5</v>
      </c>
      <c r="F363">
        <f>Tabla2[[#This Row],[Score Best Ever]]/Tabla2[[#This Row],[Points Possible]]*100</f>
        <v>100</v>
      </c>
      <c r="G363">
        <v>1</v>
      </c>
      <c r="H363" t="s">
        <v>12</v>
      </c>
      <c r="I363" t="s">
        <v>13</v>
      </c>
      <c r="J363" t="s">
        <v>128</v>
      </c>
      <c r="K363" t="s">
        <v>15</v>
      </c>
    </row>
    <row r="364" spans="1:11" x14ac:dyDescent="0.25">
      <c r="A364" t="s">
        <v>127</v>
      </c>
      <c r="B364" t="s">
        <v>35</v>
      </c>
      <c r="C364">
        <v>4</v>
      </c>
      <c r="D364">
        <v>4</v>
      </c>
      <c r="E364">
        <v>5</v>
      </c>
      <c r="F364">
        <f>Tabla2[[#This Row],[Score Best Ever]]/Tabla2[[#This Row],[Points Possible]]*100</f>
        <v>80</v>
      </c>
      <c r="G364">
        <v>1</v>
      </c>
      <c r="H364" t="s">
        <v>22</v>
      </c>
      <c r="I364" t="s">
        <v>13</v>
      </c>
      <c r="J364" t="s">
        <v>128</v>
      </c>
      <c r="K364" t="s">
        <v>15</v>
      </c>
    </row>
    <row r="365" spans="1:11" x14ac:dyDescent="0.25">
      <c r="A365" t="s">
        <v>127</v>
      </c>
      <c r="B365" t="s">
        <v>36</v>
      </c>
      <c r="C365">
        <v>5</v>
      </c>
      <c r="D365">
        <v>2</v>
      </c>
      <c r="E365">
        <v>5</v>
      </c>
      <c r="F365">
        <f>Tabla2[[#This Row],[Score Best Ever]]/Tabla2[[#This Row],[Points Possible]]*100</f>
        <v>40</v>
      </c>
      <c r="G365">
        <v>1</v>
      </c>
      <c r="H365" t="s">
        <v>12</v>
      </c>
      <c r="I365" t="s">
        <v>13</v>
      </c>
      <c r="J365" t="s">
        <v>128</v>
      </c>
      <c r="K365" t="s">
        <v>15</v>
      </c>
    </row>
    <row r="366" spans="1:11" x14ac:dyDescent="0.25">
      <c r="A366" t="s">
        <v>127</v>
      </c>
      <c r="B366" t="s">
        <v>37</v>
      </c>
      <c r="C366">
        <v>12</v>
      </c>
      <c r="D366">
        <v>5</v>
      </c>
      <c r="E366">
        <v>5</v>
      </c>
      <c r="F366">
        <f>Tabla2[[#This Row],[Score Best Ever]]/Tabla2[[#This Row],[Points Possible]]*100</f>
        <v>100</v>
      </c>
      <c r="G366">
        <v>2</v>
      </c>
      <c r="H366" t="s">
        <v>75</v>
      </c>
      <c r="I366" t="s">
        <v>13</v>
      </c>
      <c r="J366" t="s">
        <v>128</v>
      </c>
      <c r="K366" t="s">
        <v>15</v>
      </c>
    </row>
    <row r="367" spans="1:11" x14ac:dyDescent="0.25">
      <c r="A367" t="s">
        <v>127</v>
      </c>
      <c r="B367" t="s">
        <v>38</v>
      </c>
      <c r="C367">
        <v>5</v>
      </c>
      <c r="D367">
        <v>5</v>
      </c>
      <c r="E367">
        <v>5</v>
      </c>
      <c r="F367">
        <f>Tabla2[[#This Row],[Score Best Ever]]/Tabla2[[#This Row],[Points Possible]]*100</f>
        <v>100</v>
      </c>
      <c r="G367">
        <v>9</v>
      </c>
      <c r="H367" t="s">
        <v>131</v>
      </c>
      <c r="I367" t="s">
        <v>13</v>
      </c>
      <c r="J367" t="s">
        <v>128</v>
      </c>
      <c r="K367" t="s">
        <v>15</v>
      </c>
    </row>
    <row r="368" spans="1:11" x14ac:dyDescent="0.25">
      <c r="A368" t="s">
        <v>127</v>
      </c>
      <c r="B368" t="s">
        <v>40</v>
      </c>
      <c r="C368">
        <v>4</v>
      </c>
      <c r="D368">
        <v>4</v>
      </c>
      <c r="E368">
        <v>5</v>
      </c>
      <c r="F368">
        <f>Tabla2[[#This Row],[Score Best Ever]]/Tabla2[[#This Row],[Points Possible]]*100</f>
        <v>80</v>
      </c>
      <c r="G368">
        <v>1</v>
      </c>
      <c r="H368" t="s">
        <v>20</v>
      </c>
      <c r="I368" t="s">
        <v>13</v>
      </c>
      <c r="J368" t="s">
        <v>128</v>
      </c>
      <c r="K368" t="s">
        <v>15</v>
      </c>
    </row>
    <row r="369" spans="1:11" x14ac:dyDescent="0.25">
      <c r="A369" t="s">
        <v>127</v>
      </c>
      <c r="B369" t="s">
        <v>41</v>
      </c>
      <c r="C369">
        <v>5</v>
      </c>
      <c r="D369">
        <v>3</v>
      </c>
      <c r="E369">
        <v>5</v>
      </c>
      <c r="F369">
        <f>Tabla2[[#This Row],[Score Best Ever]]/Tabla2[[#This Row],[Points Possible]]*100</f>
        <v>60</v>
      </c>
      <c r="G369">
        <v>1</v>
      </c>
      <c r="H369" t="s">
        <v>12</v>
      </c>
      <c r="I369" t="s">
        <v>13</v>
      </c>
      <c r="J369" t="s">
        <v>128</v>
      </c>
      <c r="K369" t="s">
        <v>15</v>
      </c>
    </row>
    <row r="370" spans="1:11" x14ac:dyDescent="0.25">
      <c r="A370" t="s">
        <v>127</v>
      </c>
      <c r="B370" t="s">
        <v>42</v>
      </c>
      <c r="C370">
        <v>5</v>
      </c>
      <c r="D370">
        <v>4</v>
      </c>
      <c r="E370">
        <v>5</v>
      </c>
      <c r="F370">
        <f>Tabla2[[#This Row],[Score Best Ever]]/Tabla2[[#This Row],[Points Possible]]*100</f>
        <v>80</v>
      </c>
      <c r="G370">
        <v>4</v>
      </c>
      <c r="H370" t="s">
        <v>48</v>
      </c>
      <c r="I370" t="s">
        <v>13</v>
      </c>
      <c r="J370" t="s">
        <v>128</v>
      </c>
      <c r="K370" t="s">
        <v>15</v>
      </c>
    </row>
    <row r="371" spans="1:11" x14ac:dyDescent="0.25">
      <c r="A371" t="s">
        <v>127</v>
      </c>
      <c r="B371" t="s">
        <v>43</v>
      </c>
      <c r="C371">
        <v>5</v>
      </c>
      <c r="D371">
        <v>5</v>
      </c>
      <c r="E371">
        <v>5</v>
      </c>
      <c r="F371">
        <f>Tabla2[[#This Row],[Score Best Ever]]/Tabla2[[#This Row],[Points Possible]]*100</f>
        <v>100</v>
      </c>
      <c r="G371">
        <v>8</v>
      </c>
      <c r="H371" t="s">
        <v>75</v>
      </c>
      <c r="I371" t="s">
        <v>13</v>
      </c>
      <c r="J371" t="s">
        <v>128</v>
      </c>
      <c r="K371" t="s">
        <v>15</v>
      </c>
    </row>
    <row r="372" spans="1:11" x14ac:dyDescent="0.25">
      <c r="A372" t="s">
        <v>132</v>
      </c>
      <c r="B372" t="s">
        <v>11</v>
      </c>
      <c r="C372">
        <v>3</v>
      </c>
      <c r="D372">
        <v>5</v>
      </c>
      <c r="E372">
        <v>5</v>
      </c>
      <c r="F372">
        <f>Tabla2[[#This Row],[Score Best Ever]]/Tabla2[[#This Row],[Points Possible]]*100</f>
        <v>100</v>
      </c>
      <c r="G372">
        <v>1</v>
      </c>
      <c r="H372" t="s">
        <v>18</v>
      </c>
      <c r="I372" t="s">
        <v>13</v>
      </c>
      <c r="J372" t="s">
        <v>133</v>
      </c>
      <c r="K372" t="s">
        <v>15</v>
      </c>
    </row>
    <row r="373" spans="1:11" x14ac:dyDescent="0.25">
      <c r="A373" t="s">
        <v>132</v>
      </c>
      <c r="B373" t="s">
        <v>17</v>
      </c>
      <c r="C373">
        <v>4</v>
      </c>
      <c r="D373">
        <v>4</v>
      </c>
      <c r="E373">
        <v>5</v>
      </c>
      <c r="F373">
        <f>Tabla2[[#This Row],[Score Best Ever]]/Tabla2[[#This Row],[Points Possible]]*100</f>
        <v>80</v>
      </c>
      <c r="G373">
        <v>1</v>
      </c>
      <c r="H373" t="s">
        <v>52</v>
      </c>
      <c r="I373" t="s">
        <v>13</v>
      </c>
      <c r="J373" t="s">
        <v>133</v>
      </c>
      <c r="K373" t="s">
        <v>15</v>
      </c>
    </row>
    <row r="374" spans="1:11" x14ac:dyDescent="0.25">
      <c r="A374" t="s">
        <v>132</v>
      </c>
      <c r="B374" t="s">
        <v>19</v>
      </c>
      <c r="C374">
        <v>5</v>
      </c>
      <c r="D374">
        <v>4</v>
      </c>
      <c r="E374">
        <v>5</v>
      </c>
      <c r="F374">
        <f>Tabla2[[#This Row],[Score Best Ever]]/Tabla2[[#This Row],[Points Possible]]*100</f>
        <v>80</v>
      </c>
      <c r="G374">
        <v>1</v>
      </c>
      <c r="H374" t="s">
        <v>29</v>
      </c>
      <c r="I374" t="s">
        <v>13</v>
      </c>
      <c r="J374" t="s">
        <v>133</v>
      </c>
      <c r="K374" t="s">
        <v>15</v>
      </c>
    </row>
    <row r="375" spans="1:11" x14ac:dyDescent="0.25">
      <c r="A375" t="s">
        <v>132</v>
      </c>
      <c r="B375" t="s">
        <v>21</v>
      </c>
      <c r="D375">
        <v>4</v>
      </c>
      <c r="E375">
        <v>5</v>
      </c>
      <c r="F375">
        <f>Tabla2[[#This Row],[Score Best Ever]]/Tabla2[[#This Row],[Points Possible]]*100</f>
        <v>80</v>
      </c>
      <c r="G375">
        <v>0</v>
      </c>
      <c r="H375" t="s">
        <v>134</v>
      </c>
      <c r="I375" t="s">
        <v>13</v>
      </c>
      <c r="J375" t="s">
        <v>133</v>
      </c>
      <c r="K375" t="s">
        <v>15</v>
      </c>
    </row>
    <row r="376" spans="1:11" x14ac:dyDescent="0.25">
      <c r="A376" t="s">
        <v>132</v>
      </c>
      <c r="B376" t="s">
        <v>23</v>
      </c>
      <c r="C376">
        <v>12</v>
      </c>
      <c r="D376">
        <v>4</v>
      </c>
      <c r="E376">
        <v>5</v>
      </c>
      <c r="F376">
        <f>Tabla2[[#This Row],[Score Best Ever]]/Tabla2[[#This Row],[Points Possible]]*100</f>
        <v>80</v>
      </c>
      <c r="G376">
        <v>2</v>
      </c>
      <c r="H376" t="s">
        <v>74</v>
      </c>
      <c r="I376" t="s">
        <v>13</v>
      </c>
      <c r="J376" t="s">
        <v>133</v>
      </c>
      <c r="K376" t="s">
        <v>15</v>
      </c>
    </row>
    <row r="377" spans="1:11" x14ac:dyDescent="0.25">
      <c r="A377" t="s">
        <v>132</v>
      </c>
      <c r="B377" t="s">
        <v>24</v>
      </c>
      <c r="C377">
        <v>3</v>
      </c>
      <c r="D377">
        <v>3</v>
      </c>
      <c r="E377">
        <v>5</v>
      </c>
      <c r="F377">
        <f>Tabla2[[#This Row],[Score Best Ever]]/Tabla2[[#This Row],[Points Possible]]*100</f>
        <v>60</v>
      </c>
      <c r="G377">
        <v>1</v>
      </c>
      <c r="H377" t="s">
        <v>18</v>
      </c>
      <c r="I377" t="s">
        <v>13</v>
      </c>
      <c r="J377" t="s">
        <v>133</v>
      </c>
      <c r="K377" t="s">
        <v>15</v>
      </c>
    </row>
    <row r="378" spans="1:11" x14ac:dyDescent="0.25">
      <c r="A378" t="s">
        <v>132</v>
      </c>
      <c r="B378" t="s">
        <v>27</v>
      </c>
      <c r="D378">
        <v>3</v>
      </c>
      <c r="E378">
        <v>5</v>
      </c>
      <c r="F378">
        <f>Tabla2[[#This Row],[Score Best Ever]]/Tabla2[[#This Row],[Points Possible]]*100</f>
        <v>60</v>
      </c>
      <c r="G378">
        <v>0</v>
      </c>
      <c r="H378" t="s">
        <v>135</v>
      </c>
      <c r="I378" t="s">
        <v>13</v>
      </c>
      <c r="J378" t="s">
        <v>133</v>
      </c>
      <c r="K378" t="s">
        <v>15</v>
      </c>
    </row>
    <row r="379" spans="1:11" x14ac:dyDescent="0.25">
      <c r="A379" t="s">
        <v>132</v>
      </c>
      <c r="B379" t="s">
        <v>28</v>
      </c>
      <c r="D379">
        <v>4</v>
      </c>
      <c r="E379">
        <v>5</v>
      </c>
      <c r="F379">
        <f>Tabla2[[#This Row],[Score Best Ever]]/Tabla2[[#This Row],[Points Possible]]*100</f>
        <v>80</v>
      </c>
      <c r="G379">
        <v>0</v>
      </c>
      <c r="H379" t="s">
        <v>136</v>
      </c>
      <c r="I379" t="s">
        <v>13</v>
      </c>
      <c r="J379" t="s">
        <v>133</v>
      </c>
      <c r="K379" t="s">
        <v>15</v>
      </c>
    </row>
    <row r="380" spans="1:11" x14ac:dyDescent="0.25">
      <c r="A380" t="s">
        <v>132</v>
      </c>
      <c r="B380" t="s">
        <v>30</v>
      </c>
      <c r="C380">
        <v>3</v>
      </c>
      <c r="D380">
        <v>4</v>
      </c>
      <c r="E380">
        <v>5</v>
      </c>
      <c r="F380">
        <f>Tabla2[[#This Row],[Score Best Ever]]/Tabla2[[#This Row],[Points Possible]]*100</f>
        <v>80</v>
      </c>
      <c r="G380">
        <v>1</v>
      </c>
      <c r="H380" t="s">
        <v>18</v>
      </c>
      <c r="I380" t="s">
        <v>13</v>
      </c>
      <c r="J380" t="s">
        <v>133</v>
      </c>
      <c r="K380" t="s">
        <v>15</v>
      </c>
    </row>
    <row r="381" spans="1:11" x14ac:dyDescent="0.25">
      <c r="A381" t="s">
        <v>132</v>
      </c>
      <c r="B381" t="s">
        <v>31</v>
      </c>
      <c r="D381">
        <v>3</v>
      </c>
      <c r="E381">
        <v>5</v>
      </c>
      <c r="F381">
        <f>Tabla2[[#This Row],[Score Best Ever]]/Tabla2[[#This Row],[Points Possible]]*100</f>
        <v>60</v>
      </c>
      <c r="G381">
        <v>0</v>
      </c>
      <c r="H381" t="s">
        <v>137</v>
      </c>
      <c r="I381" t="s">
        <v>13</v>
      </c>
      <c r="J381" t="s">
        <v>133</v>
      </c>
      <c r="K381" t="s">
        <v>15</v>
      </c>
    </row>
    <row r="382" spans="1:11" x14ac:dyDescent="0.25">
      <c r="A382" t="s">
        <v>132</v>
      </c>
      <c r="B382" t="s">
        <v>35</v>
      </c>
      <c r="C382">
        <v>4</v>
      </c>
      <c r="D382">
        <v>5</v>
      </c>
      <c r="E382">
        <v>5</v>
      </c>
      <c r="F382">
        <f>Tabla2[[#This Row],[Score Best Ever]]/Tabla2[[#This Row],[Points Possible]]*100</f>
        <v>100</v>
      </c>
      <c r="G382">
        <v>2</v>
      </c>
      <c r="H382" t="s">
        <v>18</v>
      </c>
      <c r="I382" t="s">
        <v>13</v>
      </c>
      <c r="J382" t="s">
        <v>133</v>
      </c>
      <c r="K382" t="s">
        <v>15</v>
      </c>
    </row>
    <row r="383" spans="1:11" x14ac:dyDescent="0.25">
      <c r="A383" t="s">
        <v>132</v>
      </c>
      <c r="B383" t="s">
        <v>36</v>
      </c>
      <c r="D383">
        <v>2</v>
      </c>
      <c r="E383">
        <v>5</v>
      </c>
      <c r="F383">
        <f>Tabla2[[#This Row],[Score Best Ever]]/Tabla2[[#This Row],[Points Possible]]*100</f>
        <v>40</v>
      </c>
      <c r="G383">
        <v>0</v>
      </c>
      <c r="H383" t="s">
        <v>138</v>
      </c>
      <c r="I383" t="s">
        <v>13</v>
      </c>
      <c r="J383" t="s">
        <v>133</v>
      </c>
      <c r="K383" t="s">
        <v>15</v>
      </c>
    </row>
    <row r="384" spans="1:11" x14ac:dyDescent="0.25">
      <c r="A384" t="s">
        <v>132</v>
      </c>
      <c r="B384" t="s">
        <v>37</v>
      </c>
      <c r="C384">
        <v>5</v>
      </c>
      <c r="D384">
        <v>5</v>
      </c>
      <c r="E384">
        <v>5</v>
      </c>
      <c r="F384">
        <f>Tabla2[[#This Row],[Score Best Ever]]/Tabla2[[#This Row],[Points Possible]]*100</f>
        <v>100</v>
      </c>
      <c r="G384">
        <v>6</v>
      </c>
      <c r="H384" t="s">
        <v>22</v>
      </c>
      <c r="I384" t="s">
        <v>13</v>
      </c>
      <c r="J384" t="s">
        <v>133</v>
      </c>
      <c r="K384" t="s">
        <v>15</v>
      </c>
    </row>
    <row r="385" spans="1:11" x14ac:dyDescent="0.25">
      <c r="A385" t="s">
        <v>132</v>
      </c>
      <c r="B385" t="s">
        <v>38</v>
      </c>
      <c r="C385">
        <v>4</v>
      </c>
      <c r="D385">
        <v>5</v>
      </c>
      <c r="E385">
        <v>5</v>
      </c>
      <c r="F385">
        <f>Tabla2[[#This Row],[Score Best Ever]]/Tabla2[[#This Row],[Points Possible]]*100</f>
        <v>100</v>
      </c>
      <c r="G385">
        <v>1</v>
      </c>
      <c r="H385" t="s">
        <v>67</v>
      </c>
      <c r="I385" t="s">
        <v>13</v>
      </c>
      <c r="J385" t="s">
        <v>133</v>
      </c>
      <c r="K385" t="s">
        <v>15</v>
      </c>
    </row>
    <row r="386" spans="1:11" x14ac:dyDescent="0.25">
      <c r="A386" t="s">
        <v>132</v>
      </c>
      <c r="B386" t="s">
        <v>40</v>
      </c>
      <c r="C386">
        <v>3</v>
      </c>
      <c r="D386">
        <v>5</v>
      </c>
      <c r="E386">
        <v>5</v>
      </c>
      <c r="F386">
        <f>Tabla2[[#This Row],[Score Best Ever]]/Tabla2[[#This Row],[Points Possible]]*100</f>
        <v>100</v>
      </c>
      <c r="G386">
        <v>1</v>
      </c>
      <c r="H386" t="s">
        <v>18</v>
      </c>
      <c r="I386" t="s">
        <v>13</v>
      </c>
      <c r="J386" t="s">
        <v>133</v>
      </c>
      <c r="K386" t="s">
        <v>15</v>
      </c>
    </row>
    <row r="387" spans="1:11" x14ac:dyDescent="0.25">
      <c r="A387" t="s">
        <v>132</v>
      </c>
      <c r="B387" t="s">
        <v>41</v>
      </c>
      <c r="D387">
        <v>5</v>
      </c>
      <c r="E387">
        <v>5</v>
      </c>
      <c r="F387">
        <f>Tabla2[[#This Row],[Score Best Ever]]/Tabla2[[#This Row],[Points Possible]]*100</f>
        <v>100</v>
      </c>
      <c r="G387">
        <v>0</v>
      </c>
      <c r="H387" t="s">
        <v>139</v>
      </c>
      <c r="I387" t="s">
        <v>13</v>
      </c>
      <c r="J387" t="s">
        <v>133</v>
      </c>
      <c r="K387" t="s">
        <v>15</v>
      </c>
    </row>
    <row r="388" spans="1:11" x14ac:dyDescent="0.25">
      <c r="A388" t="s">
        <v>132</v>
      </c>
      <c r="B388" t="s">
        <v>42</v>
      </c>
      <c r="C388">
        <v>4</v>
      </c>
      <c r="D388">
        <v>5</v>
      </c>
      <c r="E388">
        <v>5</v>
      </c>
      <c r="F388">
        <f>Tabla2[[#This Row],[Score Best Ever]]/Tabla2[[#This Row],[Points Possible]]*100</f>
        <v>100</v>
      </c>
      <c r="G388">
        <v>3</v>
      </c>
      <c r="H388" t="s">
        <v>22</v>
      </c>
      <c r="I388" t="s">
        <v>13</v>
      </c>
      <c r="J388" t="s">
        <v>133</v>
      </c>
      <c r="K388" t="s">
        <v>15</v>
      </c>
    </row>
    <row r="389" spans="1:11" x14ac:dyDescent="0.25">
      <c r="A389" t="s">
        <v>132</v>
      </c>
      <c r="B389" t="s">
        <v>43</v>
      </c>
      <c r="C389">
        <v>4</v>
      </c>
      <c r="D389">
        <v>5</v>
      </c>
      <c r="E389">
        <v>5</v>
      </c>
      <c r="F389">
        <f>Tabla2[[#This Row],[Score Best Ever]]/Tabla2[[#This Row],[Points Possible]]*100</f>
        <v>100</v>
      </c>
      <c r="G389">
        <v>2</v>
      </c>
      <c r="H389" t="s">
        <v>59</v>
      </c>
      <c r="I389" t="s">
        <v>13</v>
      </c>
      <c r="J389" t="s">
        <v>133</v>
      </c>
      <c r="K389" t="s">
        <v>15</v>
      </c>
    </row>
    <row r="390" spans="1:11" x14ac:dyDescent="0.25">
      <c r="A390" t="s">
        <v>140</v>
      </c>
      <c r="B390" t="s">
        <v>11</v>
      </c>
      <c r="D390">
        <v>20</v>
      </c>
      <c r="E390">
        <v>22</v>
      </c>
      <c r="F390">
        <f>Tabla2[[#This Row],[Score Best Ever]]/Tabla2[[#This Row],[Points Possible]]*100</f>
        <v>90.909090909090907</v>
      </c>
      <c r="G390">
        <v>0</v>
      </c>
      <c r="H390" t="s">
        <v>141</v>
      </c>
      <c r="I390" t="s">
        <v>13</v>
      </c>
      <c r="J390" t="s">
        <v>142</v>
      </c>
      <c r="K390" t="s">
        <v>58</v>
      </c>
    </row>
    <row r="391" spans="1:11" x14ac:dyDescent="0.25">
      <c r="A391" t="s">
        <v>140</v>
      </c>
      <c r="B391" t="s">
        <v>17</v>
      </c>
      <c r="C391">
        <v>1</v>
      </c>
      <c r="D391">
        <v>19</v>
      </c>
      <c r="E391">
        <v>23</v>
      </c>
      <c r="F391">
        <f>Tabla2[[#This Row],[Score Best Ever]]/Tabla2[[#This Row],[Points Possible]]*100</f>
        <v>82.608695652173907</v>
      </c>
      <c r="G391">
        <v>1</v>
      </c>
      <c r="H391" t="s">
        <v>48</v>
      </c>
      <c r="I391" t="s">
        <v>13</v>
      </c>
      <c r="J391" t="s">
        <v>142</v>
      </c>
      <c r="K391" t="s">
        <v>58</v>
      </c>
    </row>
    <row r="392" spans="1:11" x14ac:dyDescent="0.25">
      <c r="A392" t="s">
        <v>140</v>
      </c>
      <c r="B392" t="s">
        <v>19</v>
      </c>
      <c r="C392">
        <v>12</v>
      </c>
      <c r="D392">
        <v>11</v>
      </c>
      <c r="E392">
        <v>23</v>
      </c>
      <c r="F392">
        <f>Tabla2[[#This Row],[Score Best Ever]]/Tabla2[[#This Row],[Points Possible]]*100</f>
        <v>47.826086956521742</v>
      </c>
      <c r="G392">
        <v>2</v>
      </c>
      <c r="H392" t="s">
        <v>75</v>
      </c>
      <c r="I392" t="s">
        <v>13</v>
      </c>
      <c r="J392" t="s">
        <v>142</v>
      </c>
      <c r="K392" t="s">
        <v>58</v>
      </c>
    </row>
    <row r="393" spans="1:11" x14ac:dyDescent="0.25">
      <c r="A393" t="s">
        <v>140</v>
      </c>
      <c r="B393" t="s">
        <v>21</v>
      </c>
      <c r="C393">
        <v>3</v>
      </c>
      <c r="D393">
        <v>17</v>
      </c>
      <c r="E393">
        <v>23</v>
      </c>
      <c r="F393">
        <f>Tabla2[[#This Row],[Score Best Ever]]/Tabla2[[#This Row],[Points Possible]]*100</f>
        <v>73.91304347826086</v>
      </c>
      <c r="G393">
        <v>1</v>
      </c>
      <c r="H393" t="s">
        <v>18</v>
      </c>
      <c r="I393" t="s">
        <v>13</v>
      </c>
      <c r="J393" t="s">
        <v>142</v>
      </c>
      <c r="K393" t="s">
        <v>58</v>
      </c>
    </row>
    <row r="394" spans="1:11" x14ac:dyDescent="0.25">
      <c r="A394" t="s">
        <v>140</v>
      </c>
      <c r="B394" t="s">
        <v>23</v>
      </c>
      <c r="C394">
        <v>3</v>
      </c>
      <c r="D394">
        <v>18</v>
      </c>
      <c r="E394">
        <v>22</v>
      </c>
      <c r="F394">
        <f>Tabla2[[#This Row],[Score Best Ever]]/Tabla2[[#This Row],[Points Possible]]*100</f>
        <v>81.818181818181827</v>
      </c>
      <c r="G394">
        <v>1</v>
      </c>
      <c r="H394" t="s">
        <v>131</v>
      </c>
      <c r="I394" t="s">
        <v>13</v>
      </c>
      <c r="J394" t="s">
        <v>142</v>
      </c>
      <c r="K394" t="s">
        <v>58</v>
      </c>
    </row>
    <row r="395" spans="1:11" x14ac:dyDescent="0.25">
      <c r="A395" t="s">
        <v>140</v>
      </c>
      <c r="B395" t="s">
        <v>24</v>
      </c>
      <c r="D395">
        <v>15</v>
      </c>
      <c r="E395">
        <v>22</v>
      </c>
      <c r="F395">
        <f>Tabla2[[#This Row],[Score Best Ever]]/Tabla2[[#This Row],[Points Possible]]*100</f>
        <v>68.181818181818173</v>
      </c>
      <c r="G395">
        <v>0</v>
      </c>
      <c r="H395" t="s">
        <v>143</v>
      </c>
      <c r="I395" t="s">
        <v>13</v>
      </c>
      <c r="J395" t="s">
        <v>142</v>
      </c>
      <c r="K395" t="s">
        <v>58</v>
      </c>
    </row>
    <row r="396" spans="1:11" x14ac:dyDescent="0.25">
      <c r="A396" t="s">
        <v>140</v>
      </c>
      <c r="B396" t="s">
        <v>27</v>
      </c>
      <c r="C396">
        <v>4</v>
      </c>
      <c r="D396">
        <v>16</v>
      </c>
      <c r="E396">
        <v>22</v>
      </c>
      <c r="F396">
        <f>Tabla2[[#This Row],[Score Best Ever]]/Tabla2[[#This Row],[Points Possible]]*100</f>
        <v>72.727272727272734</v>
      </c>
      <c r="G396">
        <v>1</v>
      </c>
      <c r="H396" t="s">
        <v>20</v>
      </c>
      <c r="I396" t="s">
        <v>13</v>
      </c>
      <c r="J396" t="s">
        <v>142</v>
      </c>
      <c r="K396" t="s">
        <v>58</v>
      </c>
    </row>
    <row r="397" spans="1:11" x14ac:dyDescent="0.25">
      <c r="A397" t="s">
        <v>140</v>
      </c>
      <c r="B397" t="s">
        <v>28</v>
      </c>
      <c r="C397">
        <v>4</v>
      </c>
      <c r="D397">
        <v>16</v>
      </c>
      <c r="E397">
        <v>22</v>
      </c>
      <c r="F397">
        <f>Tabla2[[#This Row],[Score Best Ever]]/Tabla2[[#This Row],[Points Possible]]*100</f>
        <v>72.727272727272734</v>
      </c>
      <c r="G397">
        <v>1</v>
      </c>
      <c r="H397" t="s">
        <v>22</v>
      </c>
      <c r="I397" t="s">
        <v>13</v>
      </c>
      <c r="J397" t="s">
        <v>142</v>
      </c>
      <c r="K397" t="s">
        <v>58</v>
      </c>
    </row>
    <row r="398" spans="1:11" x14ac:dyDescent="0.25">
      <c r="A398" t="s">
        <v>140</v>
      </c>
      <c r="B398" t="s">
        <v>30</v>
      </c>
      <c r="C398">
        <v>5</v>
      </c>
      <c r="D398">
        <v>17</v>
      </c>
      <c r="E398">
        <v>22</v>
      </c>
      <c r="F398">
        <f>Tabla2[[#This Row],[Score Best Ever]]/Tabla2[[#This Row],[Points Possible]]*100</f>
        <v>77.272727272727266</v>
      </c>
      <c r="G398">
        <v>2</v>
      </c>
      <c r="H398" t="s">
        <v>48</v>
      </c>
      <c r="I398" t="s">
        <v>13</v>
      </c>
      <c r="J398" t="s">
        <v>142</v>
      </c>
      <c r="K398" t="s">
        <v>58</v>
      </c>
    </row>
    <row r="399" spans="1:11" x14ac:dyDescent="0.25">
      <c r="A399" t="s">
        <v>140</v>
      </c>
      <c r="B399" t="s">
        <v>31</v>
      </c>
      <c r="C399">
        <v>4</v>
      </c>
      <c r="D399">
        <v>20</v>
      </c>
      <c r="E399">
        <v>23</v>
      </c>
      <c r="F399">
        <f>Tabla2[[#This Row],[Score Best Ever]]/Tabla2[[#This Row],[Points Possible]]*100</f>
        <v>86.956521739130437</v>
      </c>
      <c r="G399">
        <v>1</v>
      </c>
      <c r="H399" t="s">
        <v>20</v>
      </c>
      <c r="I399" t="s">
        <v>13</v>
      </c>
      <c r="J399" t="s">
        <v>142</v>
      </c>
      <c r="K399" t="s">
        <v>58</v>
      </c>
    </row>
    <row r="400" spans="1:11" x14ac:dyDescent="0.25">
      <c r="A400" t="s">
        <v>140</v>
      </c>
      <c r="B400" t="s">
        <v>35</v>
      </c>
      <c r="C400">
        <v>5</v>
      </c>
      <c r="D400">
        <v>15</v>
      </c>
      <c r="E400">
        <v>23</v>
      </c>
      <c r="F400">
        <f>Tabla2[[#This Row],[Score Best Ever]]/Tabla2[[#This Row],[Points Possible]]*100</f>
        <v>65.217391304347828</v>
      </c>
      <c r="G400">
        <v>2</v>
      </c>
      <c r="H400" t="s">
        <v>29</v>
      </c>
      <c r="I400" t="s">
        <v>13</v>
      </c>
      <c r="J400" t="s">
        <v>142</v>
      </c>
      <c r="K400" t="s">
        <v>58</v>
      </c>
    </row>
    <row r="401" spans="1:11" x14ac:dyDescent="0.25">
      <c r="A401" t="s">
        <v>140</v>
      </c>
      <c r="B401" t="s">
        <v>36</v>
      </c>
      <c r="C401">
        <v>3</v>
      </c>
      <c r="D401">
        <v>14</v>
      </c>
      <c r="E401">
        <v>23</v>
      </c>
      <c r="F401">
        <f>Tabla2[[#This Row],[Score Best Ever]]/Tabla2[[#This Row],[Points Possible]]*100</f>
        <v>60.869565217391312</v>
      </c>
      <c r="G401">
        <v>1</v>
      </c>
      <c r="H401" t="s">
        <v>18</v>
      </c>
      <c r="I401" t="s">
        <v>13</v>
      </c>
      <c r="J401" t="s">
        <v>142</v>
      </c>
      <c r="K401" t="s">
        <v>58</v>
      </c>
    </row>
    <row r="402" spans="1:11" x14ac:dyDescent="0.25">
      <c r="A402" t="s">
        <v>140</v>
      </c>
      <c r="B402" t="s">
        <v>37</v>
      </c>
      <c r="C402">
        <v>5</v>
      </c>
      <c r="D402">
        <v>14</v>
      </c>
      <c r="E402">
        <v>22</v>
      </c>
      <c r="F402">
        <f>Tabla2[[#This Row],[Score Best Ever]]/Tabla2[[#This Row],[Points Possible]]*100</f>
        <v>63.636363636363633</v>
      </c>
      <c r="G402">
        <v>5</v>
      </c>
      <c r="H402" t="s">
        <v>68</v>
      </c>
      <c r="I402" t="s">
        <v>13</v>
      </c>
      <c r="J402" t="s">
        <v>142</v>
      </c>
      <c r="K402" t="s">
        <v>58</v>
      </c>
    </row>
    <row r="403" spans="1:11" x14ac:dyDescent="0.25">
      <c r="A403" t="s">
        <v>140</v>
      </c>
      <c r="B403" t="s">
        <v>38</v>
      </c>
      <c r="C403">
        <v>5</v>
      </c>
      <c r="D403">
        <v>22</v>
      </c>
      <c r="E403">
        <v>22</v>
      </c>
      <c r="F403">
        <f>Tabla2[[#This Row],[Score Best Ever]]/Tabla2[[#This Row],[Points Possible]]*100</f>
        <v>100</v>
      </c>
      <c r="G403">
        <v>17</v>
      </c>
      <c r="H403" t="s">
        <v>144</v>
      </c>
      <c r="I403" t="s">
        <v>13</v>
      </c>
      <c r="J403" t="s">
        <v>142</v>
      </c>
      <c r="K403" t="s">
        <v>58</v>
      </c>
    </row>
    <row r="404" spans="1:11" x14ac:dyDescent="0.25">
      <c r="A404" t="s">
        <v>140</v>
      </c>
      <c r="B404" t="s">
        <v>40</v>
      </c>
      <c r="D404">
        <v>21</v>
      </c>
      <c r="E404">
        <v>23</v>
      </c>
      <c r="F404">
        <f>Tabla2[[#This Row],[Score Best Ever]]/Tabla2[[#This Row],[Points Possible]]*100</f>
        <v>91.304347826086953</v>
      </c>
      <c r="G404">
        <v>0</v>
      </c>
      <c r="H404" t="s">
        <v>145</v>
      </c>
      <c r="I404" t="s">
        <v>13</v>
      </c>
      <c r="J404" t="s">
        <v>142</v>
      </c>
      <c r="K404" t="s">
        <v>58</v>
      </c>
    </row>
    <row r="405" spans="1:11" x14ac:dyDescent="0.25">
      <c r="A405" t="s">
        <v>140</v>
      </c>
      <c r="B405" t="s">
        <v>41</v>
      </c>
      <c r="C405">
        <v>3</v>
      </c>
      <c r="D405">
        <v>12</v>
      </c>
      <c r="E405">
        <v>23</v>
      </c>
      <c r="F405">
        <f>Tabla2[[#This Row],[Score Best Ever]]/Tabla2[[#This Row],[Points Possible]]*100</f>
        <v>52.173913043478258</v>
      </c>
      <c r="G405">
        <v>1</v>
      </c>
      <c r="H405" t="s">
        <v>18</v>
      </c>
      <c r="I405" t="s">
        <v>13</v>
      </c>
      <c r="J405" t="s">
        <v>142</v>
      </c>
      <c r="K405" t="s">
        <v>58</v>
      </c>
    </row>
    <row r="406" spans="1:11" x14ac:dyDescent="0.25">
      <c r="A406" t="s">
        <v>140</v>
      </c>
      <c r="B406" t="s">
        <v>42</v>
      </c>
      <c r="C406">
        <v>4</v>
      </c>
      <c r="D406">
        <v>19</v>
      </c>
      <c r="E406">
        <v>22</v>
      </c>
      <c r="F406">
        <f>Tabla2[[#This Row],[Score Best Ever]]/Tabla2[[#This Row],[Points Possible]]*100</f>
        <v>86.36363636363636</v>
      </c>
      <c r="G406">
        <v>2</v>
      </c>
      <c r="H406" t="s">
        <v>39</v>
      </c>
      <c r="I406" t="s">
        <v>13</v>
      </c>
      <c r="J406" t="s">
        <v>142</v>
      </c>
      <c r="K406" t="s">
        <v>58</v>
      </c>
    </row>
    <row r="407" spans="1:11" x14ac:dyDescent="0.25">
      <c r="A407" t="s">
        <v>140</v>
      </c>
      <c r="B407" t="s">
        <v>43</v>
      </c>
      <c r="C407">
        <v>3</v>
      </c>
      <c r="D407">
        <v>18</v>
      </c>
      <c r="E407">
        <v>22</v>
      </c>
      <c r="F407">
        <f>Tabla2[[#This Row],[Score Best Ever]]/Tabla2[[#This Row],[Points Possible]]*100</f>
        <v>81.818181818181827</v>
      </c>
      <c r="G407">
        <v>2</v>
      </c>
      <c r="H407" t="s">
        <v>84</v>
      </c>
      <c r="I407" t="s">
        <v>13</v>
      </c>
      <c r="J407" t="s">
        <v>142</v>
      </c>
      <c r="K407" t="s">
        <v>58</v>
      </c>
    </row>
    <row r="408" spans="1:11" x14ac:dyDescent="0.25">
      <c r="A408" t="s">
        <v>146</v>
      </c>
      <c r="B408" t="s">
        <v>11</v>
      </c>
      <c r="C408">
        <v>4</v>
      </c>
      <c r="D408">
        <v>6</v>
      </c>
      <c r="E408">
        <v>6</v>
      </c>
      <c r="F408">
        <f>Tabla2[[#This Row],[Score Best Ever]]/Tabla2[[#This Row],[Points Possible]]*100</f>
        <v>100</v>
      </c>
      <c r="G408">
        <v>1</v>
      </c>
      <c r="H408" t="s">
        <v>22</v>
      </c>
      <c r="I408" t="s">
        <v>13</v>
      </c>
      <c r="J408" t="s">
        <v>147</v>
      </c>
      <c r="K408" t="s">
        <v>15</v>
      </c>
    </row>
    <row r="409" spans="1:11" x14ac:dyDescent="0.25">
      <c r="A409" t="s">
        <v>146</v>
      </c>
      <c r="B409" t="s">
        <v>17</v>
      </c>
      <c r="C409">
        <v>1</v>
      </c>
      <c r="D409">
        <v>5</v>
      </c>
      <c r="E409">
        <v>6</v>
      </c>
      <c r="F409">
        <f>Tabla2[[#This Row],[Score Best Ever]]/Tabla2[[#This Row],[Points Possible]]*100</f>
        <v>83.333333333333343</v>
      </c>
      <c r="G409">
        <v>1</v>
      </c>
      <c r="H409" t="s">
        <v>39</v>
      </c>
      <c r="I409" t="s">
        <v>13</v>
      </c>
      <c r="J409" t="s">
        <v>147</v>
      </c>
      <c r="K409" t="s">
        <v>15</v>
      </c>
    </row>
    <row r="410" spans="1:11" x14ac:dyDescent="0.25">
      <c r="A410" t="s">
        <v>146</v>
      </c>
      <c r="B410" t="s">
        <v>19</v>
      </c>
      <c r="C410">
        <v>4</v>
      </c>
      <c r="D410">
        <v>5</v>
      </c>
      <c r="E410">
        <v>6</v>
      </c>
      <c r="F410">
        <f>Tabla2[[#This Row],[Score Best Ever]]/Tabla2[[#This Row],[Points Possible]]*100</f>
        <v>83.333333333333343</v>
      </c>
      <c r="G410">
        <v>4</v>
      </c>
      <c r="H410" t="s">
        <v>129</v>
      </c>
      <c r="I410" t="s">
        <v>13</v>
      </c>
      <c r="J410" t="s">
        <v>147</v>
      </c>
      <c r="K410" t="s">
        <v>15</v>
      </c>
    </row>
    <row r="411" spans="1:11" x14ac:dyDescent="0.25">
      <c r="A411" t="s">
        <v>146</v>
      </c>
      <c r="B411" t="s">
        <v>21</v>
      </c>
      <c r="C411">
        <v>4</v>
      </c>
      <c r="D411">
        <v>3</v>
      </c>
      <c r="E411">
        <v>6</v>
      </c>
      <c r="F411">
        <f>Tabla2[[#This Row],[Score Best Ever]]/Tabla2[[#This Row],[Points Possible]]*100</f>
        <v>50</v>
      </c>
      <c r="G411">
        <v>1</v>
      </c>
      <c r="H411" t="s">
        <v>20</v>
      </c>
      <c r="I411" t="s">
        <v>13</v>
      </c>
      <c r="J411" t="s">
        <v>147</v>
      </c>
      <c r="K411" t="s">
        <v>15</v>
      </c>
    </row>
    <row r="412" spans="1:11" x14ac:dyDescent="0.25">
      <c r="A412" t="s">
        <v>146</v>
      </c>
      <c r="B412" t="s">
        <v>23</v>
      </c>
      <c r="C412">
        <v>4</v>
      </c>
      <c r="D412">
        <v>6</v>
      </c>
      <c r="E412">
        <v>6</v>
      </c>
      <c r="F412">
        <f>Tabla2[[#This Row],[Score Best Ever]]/Tabla2[[#This Row],[Points Possible]]*100</f>
        <v>100</v>
      </c>
      <c r="G412">
        <v>2</v>
      </c>
      <c r="H412" t="s">
        <v>79</v>
      </c>
      <c r="I412" t="s">
        <v>13</v>
      </c>
      <c r="J412" t="s">
        <v>147</v>
      </c>
      <c r="K412" t="s">
        <v>15</v>
      </c>
    </row>
    <row r="413" spans="1:11" x14ac:dyDescent="0.25">
      <c r="A413" t="s">
        <v>146</v>
      </c>
      <c r="B413" t="s">
        <v>24</v>
      </c>
      <c r="C413">
        <v>4</v>
      </c>
      <c r="D413">
        <v>5</v>
      </c>
      <c r="E413">
        <v>6</v>
      </c>
      <c r="F413">
        <f>Tabla2[[#This Row],[Score Best Ever]]/Tabla2[[#This Row],[Points Possible]]*100</f>
        <v>83.333333333333343</v>
      </c>
      <c r="G413">
        <v>1</v>
      </c>
      <c r="H413" t="s">
        <v>25</v>
      </c>
      <c r="I413" t="s">
        <v>13</v>
      </c>
      <c r="J413" t="s">
        <v>147</v>
      </c>
      <c r="K413" t="s">
        <v>15</v>
      </c>
    </row>
    <row r="414" spans="1:11" x14ac:dyDescent="0.25">
      <c r="A414" t="s">
        <v>146</v>
      </c>
      <c r="B414" t="s">
        <v>27</v>
      </c>
      <c r="C414">
        <v>3</v>
      </c>
      <c r="D414">
        <v>6</v>
      </c>
      <c r="E414">
        <v>6</v>
      </c>
      <c r="F414">
        <f>Tabla2[[#This Row],[Score Best Ever]]/Tabla2[[#This Row],[Points Possible]]*100</f>
        <v>100</v>
      </c>
      <c r="G414">
        <v>1</v>
      </c>
      <c r="H414" t="s">
        <v>18</v>
      </c>
      <c r="I414" t="s">
        <v>13</v>
      </c>
      <c r="J414" t="s">
        <v>147</v>
      </c>
      <c r="K414" t="s">
        <v>15</v>
      </c>
    </row>
    <row r="415" spans="1:11" x14ac:dyDescent="0.25">
      <c r="A415" t="s">
        <v>146</v>
      </c>
      <c r="B415" t="s">
        <v>28</v>
      </c>
      <c r="C415">
        <v>5</v>
      </c>
      <c r="D415">
        <v>4</v>
      </c>
      <c r="E415">
        <v>6</v>
      </c>
      <c r="F415">
        <f>Tabla2[[#This Row],[Score Best Ever]]/Tabla2[[#This Row],[Points Possible]]*100</f>
        <v>66.666666666666657</v>
      </c>
      <c r="G415">
        <v>2</v>
      </c>
      <c r="H415" t="s">
        <v>53</v>
      </c>
      <c r="I415" t="s">
        <v>13</v>
      </c>
      <c r="J415" t="s">
        <v>147</v>
      </c>
      <c r="K415" t="s">
        <v>15</v>
      </c>
    </row>
    <row r="416" spans="1:11" x14ac:dyDescent="0.25">
      <c r="A416" t="s">
        <v>146</v>
      </c>
      <c r="B416" t="s">
        <v>30</v>
      </c>
      <c r="C416">
        <v>5</v>
      </c>
      <c r="D416">
        <v>4</v>
      </c>
      <c r="E416">
        <v>6</v>
      </c>
      <c r="F416">
        <f>Tabla2[[#This Row],[Score Best Ever]]/Tabla2[[#This Row],[Points Possible]]*100</f>
        <v>66.666666666666657</v>
      </c>
      <c r="G416">
        <v>2</v>
      </c>
      <c r="H416" t="s">
        <v>52</v>
      </c>
      <c r="I416" t="s">
        <v>13</v>
      </c>
      <c r="J416" t="s">
        <v>147</v>
      </c>
      <c r="K416" t="s">
        <v>15</v>
      </c>
    </row>
    <row r="417" spans="1:11" x14ac:dyDescent="0.25">
      <c r="A417" t="s">
        <v>146</v>
      </c>
      <c r="B417" t="s">
        <v>31</v>
      </c>
      <c r="C417">
        <v>3</v>
      </c>
      <c r="D417">
        <v>4</v>
      </c>
      <c r="E417">
        <v>6</v>
      </c>
      <c r="F417">
        <f>Tabla2[[#This Row],[Score Best Ever]]/Tabla2[[#This Row],[Points Possible]]*100</f>
        <v>66.666666666666657</v>
      </c>
      <c r="G417">
        <v>1</v>
      </c>
      <c r="H417" t="s">
        <v>18</v>
      </c>
      <c r="I417" t="s">
        <v>13</v>
      </c>
      <c r="J417" t="s">
        <v>147</v>
      </c>
      <c r="K417" t="s">
        <v>15</v>
      </c>
    </row>
    <row r="418" spans="1:11" x14ac:dyDescent="0.25">
      <c r="A418" t="s">
        <v>146</v>
      </c>
      <c r="B418" t="s">
        <v>35</v>
      </c>
      <c r="C418">
        <v>1</v>
      </c>
      <c r="D418">
        <v>2</v>
      </c>
      <c r="E418">
        <v>6</v>
      </c>
      <c r="F418">
        <f>Tabla2[[#This Row],[Score Best Ever]]/Tabla2[[#This Row],[Points Possible]]*100</f>
        <v>33.333333333333329</v>
      </c>
      <c r="G418">
        <v>1</v>
      </c>
      <c r="H418" t="s">
        <v>39</v>
      </c>
      <c r="I418" t="s">
        <v>13</v>
      </c>
      <c r="J418" t="s">
        <v>147</v>
      </c>
      <c r="K418" t="s">
        <v>15</v>
      </c>
    </row>
    <row r="419" spans="1:11" x14ac:dyDescent="0.25">
      <c r="A419" t="s">
        <v>146</v>
      </c>
      <c r="B419" t="s">
        <v>36</v>
      </c>
      <c r="C419">
        <v>4</v>
      </c>
      <c r="D419">
        <v>4</v>
      </c>
      <c r="E419">
        <v>6</v>
      </c>
      <c r="F419">
        <f>Tabla2[[#This Row],[Score Best Ever]]/Tabla2[[#This Row],[Points Possible]]*100</f>
        <v>66.666666666666657</v>
      </c>
      <c r="G419">
        <v>1</v>
      </c>
      <c r="H419" t="s">
        <v>20</v>
      </c>
      <c r="I419" t="s">
        <v>13</v>
      </c>
      <c r="J419" t="s">
        <v>147</v>
      </c>
      <c r="K419" t="s">
        <v>15</v>
      </c>
    </row>
    <row r="420" spans="1:11" x14ac:dyDescent="0.25">
      <c r="A420" t="s">
        <v>146</v>
      </c>
      <c r="B420" t="s">
        <v>37</v>
      </c>
      <c r="C420">
        <v>3</v>
      </c>
      <c r="D420">
        <v>6</v>
      </c>
      <c r="E420">
        <v>6</v>
      </c>
      <c r="F420">
        <f>Tabla2[[#This Row],[Score Best Ever]]/Tabla2[[#This Row],[Points Possible]]*100</f>
        <v>100</v>
      </c>
      <c r="G420">
        <v>2</v>
      </c>
      <c r="H420" t="s">
        <v>148</v>
      </c>
      <c r="I420" t="s">
        <v>13</v>
      </c>
      <c r="J420" t="s">
        <v>147</v>
      </c>
      <c r="K420" t="s">
        <v>15</v>
      </c>
    </row>
    <row r="421" spans="1:11" x14ac:dyDescent="0.25">
      <c r="A421" t="s">
        <v>146</v>
      </c>
      <c r="B421" t="s">
        <v>38</v>
      </c>
      <c r="C421">
        <v>4</v>
      </c>
      <c r="D421">
        <v>6</v>
      </c>
      <c r="E421">
        <v>6</v>
      </c>
      <c r="F421">
        <f>Tabla2[[#This Row],[Score Best Ever]]/Tabla2[[#This Row],[Points Possible]]*100</f>
        <v>100</v>
      </c>
      <c r="G421">
        <v>1</v>
      </c>
      <c r="H421" t="s">
        <v>149</v>
      </c>
      <c r="I421" t="s">
        <v>13</v>
      </c>
      <c r="J421" t="s">
        <v>147</v>
      </c>
      <c r="K421" t="s">
        <v>15</v>
      </c>
    </row>
    <row r="422" spans="1:11" x14ac:dyDescent="0.25">
      <c r="A422" t="s">
        <v>146</v>
      </c>
      <c r="B422" t="s">
        <v>40</v>
      </c>
      <c r="C422">
        <v>4</v>
      </c>
      <c r="D422">
        <v>6</v>
      </c>
      <c r="E422">
        <v>6</v>
      </c>
      <c r="F422">
        <f>Tabla2[[#This Row],[Score Best Ever]]/Tabla2[[#This Row],[Points Possible]]*100</f>
        <v>100</v>
      </c>
      <c r="G422">
        <v>1</v>
      </c>
      <c r="H422" t="s">
        <v>22</v>
      </c>
      <c r="I422" t="s">
        <v>13</v>
      </c>
      <c r="J422" t="s">
        <v>147</v>
      </c>
      <c r="K422" t="s">
        <v>15</v>
      </c>
    </row>
    <row r="423" spans="1:11" x14ac:dyDescent="0.25">
      <c r="A423" t="s">
        <v>146</v>
      </c>
      <c r="B423" t="s">
        <v>41</v>
      </c>
      <c r="C423">
        <v>4</v>
      </c>
      <c r="D423">
        <v>4</v>
      </c>
      <c r="E423">
        <v>6</v>
      </c>
      <c r="F423">
        <f>Tabla2[[#This Row],[Score Best Ever]]/Tabla2[[#This Row],[Points Possible]]*100</f>
        <v>66.666666666666657</v>
      </c>
      <c r="G423">
        <v>1</v>
      </c>
      <c r="H423" t="s">
        <v>20</v>
      </c>
      <c r="I423" t="s">
        <v>13</v>
      </c>
      <c r="J423" t="s">
        <v>147</v>
      </c>
      <c r="K423" t="s">
        <v>15</v>
      </c>
    </row>
    <row r="424" spans="1:11" x14ac:dyDescent="0.25">
      <c r="A424" t="s">
        <v>146</v>
      </c>
      <c r="B424" t="s">
        <v>42</v>
      </c>
      <c r="C424">
        <v>5</v>
      </c>
      <c r="D424">
        <v>6</v>
      </c>
      <c r="E424">
        <v>6</v>
      </c>
      <c r="F424">
        <f>Tabla2[[#This Row],[Score Best Ever]]/Tabla2[[#This Row],[Points Possible]]*100</f>
        <v>100</v>
      </c>
      <c r="G424">
        <v>1</v>
      </c>
      <c r="H424" t="s">
        <v>44</v>
      </c>
      <c r="I424" t="s">
        <v>13</v>
      </c>
      <c r="J424" t="s">
        <v>147</v>
      </c>
      <c r="K424" t="s">
        <v>15</v>
      </c>
    </row>
    <row r="425" spans="1:11" x14ac:dyDescent="0.25">
      <c r="A425" t="s">
        <v>146</v>
      </c>
      <c r="B425" t="s">
        <v>43</v>
      </c>
      <c r="C425">
        <v>5</v>
      </c>
      <c r="D425">
        <v>6</v>
      </c>
      <c r="E425">
        <v>6</v>
      </c>
      <c r="F425">
        <f>Tabla2[[#This Row],[Score Best Ever]]/Tabla2[[#This Row],[Points Possible]]*100</f>
        <v>100</v>
      </c>
      <c r="G425">
        <v>2</v>
      </c>
      <c r="H425" t="s">
        <v>29</v>
      </c>
      <c r="I425" t="s">
        <v>13</v>
      </c>
      <c r="J425" t="s">
        <v>147</v>
      </c>
      <c r="K425" t="s">
        <v>15</v>
      </c>
    </row>
    <row r="426" spans="1:11" x14ac:dyDescent="0.25">
      <c r="A426" t="s">
        <v>150</v>
      </c>
      <c r="B426" t="s">
        <v>11</v>
      </c>
      <c r="C426">
        <v>4</v>
      </c>
      <c r="D426">
        <v>5</v>
      </c>
      <c r="E426">
        <v>5</v>
      </c>
      <c r="F426">
        <f>Tabla2[[#This Row],[Score Best Ever]]/Tabla2[[#This Row],[Points Possible]]*100</f>
        <v>100</v>
      </c>
      <c r="G426">
        <v>1</v>
      </c>
      <c r="H426" t="s">
        <v>47</v>
      </c>
      <c r="I426" t="s">
        <v>13</v>
      </c>
      <c r="J426" t="s">
        <v>151</v>
      </c>
      <c r="K426" t="s">
        <v>15</v>
      </c>
    </row>
    <row r="427" spans="1:11" x14ac:dyDescent="0.25">
      <c r="A427" t="s">
        <v>150</v>
      </c>
      <c r="B427" t="s">
        <v>17</v>
      </c>
      <c r="C427">
        <v>4</v>
      </c>
      <c r="D427">
        <v>5</v>
      </c>
      <c r="E427">
        <v>5</v>
      </c>
      <c r="F427">
        <f>Tabla2[[#This Row],[Score Best Ever]]/Tabla2[[#This Row],[Points Possible]]*100</f>
        <v>100</v>
      </c>
      <c r="G427">
        <v>1</v>
      </c>
      <c r="H427" t="s">
        <v>47</v>
      </c>
      <c r="I427" t="s">
        <v>13</v>
      </c>
      <c r="J427" t="s">
        <v>151</v>
      </c>
      <c r="K427" t="s">
        <v>15</v>
      </c>
    </row>
    <row r="428" spans="1:11" x14ac:dyDescent="0.25">
      <c r="A428" t="s">
        <v>150</v>
      </c>
      <c r="B428" t="s">
        <v>19</v>
      </c>
      <c r="C428">
        <v>4</v>
      </c>
      <c r="D428">
        <v>5</v>
      </c>
      <c r="E428">
        <v>5</v>
      </c>
      <c r="F428">
        <f>Tabla2[[#This Row],[Score Best Ever]]/Tabla2[[#This Row],[Points Possible]]*100</f>
        <v>100</v>
      </c>
      <c r="G428">
        <v>2</v>
      </c>
      <c r="H428" t="s">
        <v>25</v>
      </c>
      <c r="I428" t="s">
        <v>13</v>
      </c>
      <c r="J428" t="s">
        <v>151</v>
      </c>
      <c r="K428" t="s">
        <v>15</v>
      </c>
    </row>
    <row r="429" spans="1:11" x14ac:dyDescent="0.25">
      <c r="A429" t="s">
        <v>150</v>
      </c>
      <c r="B429" t="s">
        <v>21</v>
      </c>
      <c r="C429">
        <v>4</v>
      </c>
      <c r="D429">
        <v>2</v>
      </c>
      <c r="E429">
        <v>5</v>
      </c>
      <c r="F429">
        <f>Tabla2[[#This Row],[Score Best Ever]]/Tabla2[[#This Row],[Points Possible]]*100</f>
        <v>40</v>
      </c>
      <c r="G429">
        <v>1</v>
      </c>
      <c r="H429" t="s">
        <v>47</v>
      </c>
      <c r="I429" t="s">
        <v>13</v>
      </c>
      <c r="J429" t="s">
        <v>151</v>
      </c>
      <c r="K429" t="s">
        <v>15</v>
      </c>
    </row>
    <row r="430" spans="1:11" x14ac:dyDescent="0.25">
      <c r="A430" t="s">
        <v>150</v>
      </c>
      <c r="B430" t="s">
        <v>24</v>
      </c>
      <c r="C430">
        <v>4</v>
      </c>
      <c r="D430">
        <v>5</v>
      </c>
      <c r="E430">
        <v>5</v>
      </c>
      <c r="F430">
        <f>Tabla2[[#This Row],[Score Best Ever]]/Tabla2[[#This Row],[Points Possible]]*100</f>
        <v>100</v>
      </c>
      <c r="G430">
        <v>1</v>
      </c>
      <c r="H430" t="s">
        <v>47</v>
      </c>
      <c r="I430" t="s">
        <v>13</v>
      </c>
      <c r="J430" t="s">
        <v>151</v>
      </c>
      <c r="K430" t="s">
        <v>15</v>
      </c>
    </row>
    <row r="431" spans="1:11" x14ac:dyDescent="0.25">
      <c r="A431" t="s">
        <v>150</v>
      </c>
      <c r="B431" t="s">
        <v>27</v>
      </c>
      <c r="C431">
        <v>4</v>
      </c>
      <c r="D431">
        <v>4</v>
      </c>
      <c r="E431">
        <v>5</v>
      </c>
      <c r="F431">
        <f>Tabla2[[#This Row],[Score Best Ever]]/Tabla2[[#This Row],[Points Possible]]*100</f>
        <v>80</v>
      </c>
      <c r="G431">
        <v>1</v>
      </c>
      <c r="H431" t="s">
        <v>47</v>
      </c>
      <c r="I431" t="s">
        <v>13</v>
      </c>
      <c r="J431" t="s">
        <v>151</v>
      </c>
      <c r="K431" t="s">
        <v>15</v>
      </c>
    </row>
    <row r="432" spans="1:11" x14ac:dyDescent="0.25">
      <c r="A432" t="s">
        <v>150</v>
      </c>
      <c r="B432" t="s">
        <v>28</v>
      </c>
      <c r="C432">
        <v>4</v>
      </c>
      <c r="D432">
        <v>5</v>
      </c>
      <c r="E432">
        <v>5</v>
      </c>
      <c r="F432">
        <f>Tabla2[[#This Row],[Score Best Ever]]/Tabla2[[#This Row],[Points Possible]]*100</f>
        <v>100</v>
      </c>
      <c r="G432">
        <v>2</v>
      </c>
      <c r="H432" t="s">
        <v>22</v>
      </c>
      <c r="I432" t="s">
        <v>13</v>
      </c>
      <c r="J432" t="s">
        <v>151</v>
      </c>
      <c r="K432" t="s">
        <v>15</v>
      </c>
    </row>
    <row r="433" spans="1:11" x14ac:dyDescent="0.25">
      <c r="A433" t="s">
        <v>150</v>
      </c>
      <c r="B433" t="s">
        <v>30</v>
      </c>
      <c r="C433">
        <v>4</v>
      </c>
      <c r="D433">
        <v>5</v>
      </c>
      <c r="E433">
        <v>5</v>
      </c>
      <c r="F433">
        <f>Tabla2[[#This Row],[Score Best Ever]]/Tabla2[[#This Row],[Points Possible]]*100</f>
        <v>100</v>
      </c>
      <c r="G433">
        <v>1</v>
      </c>
      <c r="H433" t="s">
        <v>47</v>
      </c>
      <c r="I433" t="s">
        <v>13</v>
      </c>
      <c r="J433" t="s">
        <v>151</v>
      </c>
      <c r="K433" t="s">
        <v>15</v>
      </c>
    </row>
    <row r="434" spans="1:11" x14ac:dyDescent="0.25">
      <c r="A434" t="s">
        <v>150</v>
      </c>
      <c r="B434" t="s">
        <v>31</v>
      </c>
      <c r="C434">
        <v>4</v>
      </c>
      <c r="D434">
        <v>5</v>
      </c>
      <c r="E434">
        <v>5</v>
      </c>
      <c r="F434">
        <f>Tabla2[[#This Row],[Score Best Ever]]/Tabla2[[#This Row],[Points Possible]]*100</f>
        <v>100</v>
      </c>
      <c r="G434">
        <v>1</v>
      </c>
      <c r="H434" t="s">
        <v>47</v>
      </c>
      <c r="I434" t="s">
        <v>13</v>
      </c>
      <c r="J434" t="s">
        <v>151</v>
      </c>
      <c r="K434" t="s">
        <v>15</v>
      </c>
    </row>
    <row r="435" spans="1:11" x14ac:dyDescent="0.25">
      <c r="A435" t="s">
        <v>150</v>
      </c>
      <c r="B435" t="s">
        <v>35</v>
      </c>
      <c r="C435">
        <v>5</v>
      </c>
      <c r="D435">
        <v>3</v>
      </c>
      <c r="E435">
        <v>5</v>
      </c>
      <c r="F435">
        <f>Tabla2[[#This Row],[Score Best Ever]]/Tabla2[[#This Row],[Points Possible]]*100</f>
        <v>60</v>
      </c>
      <c r="G435">
        <v>4</v>
      </c>
      <c r="H435" t="s">
        <v>18</v>
      </c>
      <c r="I435" t="s">
        <v>13</v>
      </c>
      <c r="J435" t="s">
        <v>151</v>
      </c>
      <c r="K435" t="s">
        <v>15</v>
      </c>
    </row>
    <row r="436" spans="1:11" x14ac:dyDescent="0.25">
      <c r="A436" t="s">
        <v>150</v>
      </c>
      <c r="B436" t="s">
        <v>36</v>
      </c>
      <c r="C436">
        <v>4</v>
      </c>
      <c r="D436">
        <v>4</v>
      </c>
      <c r="E436">
        <v>5</v>
      </c>
      <c r="F436">
        <f>Tabla2[[#This Row],[Score Best Ever]]/Tabla2[[#This Row],[Points Possible]]*100</f>
        <v>80</v>
      </c>
      <c r="G436">
        <v>1</v>
      </c>
      <c r="H436" t="s">
        <v>47</v>
      </c>
      <c r="I436" t="s">
        <v>13</v>
      </c>
      <c r="J436" t="s">
        <v>151</v>
      </c>
      <c r="K436" t="s">
        <v>15</v>
      </c>
    </row>
    <row r="437" spans="1:11" x14ac:dyDescent="0.25">
      <c r="A437" t="s">
        <v>150</v>
      </c>
      <c r="B437" t="s">
        <v>37</v>
      </c>
      <c r="C437">
        <v>4</v>
      </c>
      <c r="D437">
        <v>5</v>
      </c>
      <c r="E437">
        <v>5</v>
      </c>
      <c r="F437">
        <f>Tabla2[[#This Row],[Score Best Ever]]/Tabla2[[#This Row],[Points Possible]]*100</f>
        <v>100</v>
      </c>
      <c r="G437">
        <v>2</v>
      </c>
      <c r="H437" t="s">
        <v>25</v>
      </c>
      <c r="I437" t="s">
        <v>13</v>
      </c>
      <c r="J437" t="s">
        <v>151</v>
      </c>
      <c r="K437" t="s">
        <v>15</v>
      </c>
    </row>
    <row r="438" spans="1:11" x14ac:dyDescent="0.25">
      <c r="A438" t="s">
        <v>150</v>
      </c>
      <c r="B438" t="s">
        <v>38</v>
      </c>
      <c r="C438">
        <v>5</v>
      </c>
      <c r="D438">
        <v>5</v>
      </c>
      <c r="E438">
        <v>5</v>
      </c>
      <c r="F438">
        <f>Tabla2[[#This Row],[Score Best Ever]]/Tabla2[[#This Row],[Points Possible]]*100</f>
        <v>100</v>
      </c>
      <c r="G438">
        <v>3</v>
      </c>
      <c r="H438" t="s">
        <v>12</v>
      </c>
      <c r="I438" t="s">
        <v>13</v>
      </c>
      <c r="J438" t="s">
        <v>151</v>
      </c>
      <c r="K438" t="s">
        <v>15</v>
      </c>
    </row>
    <row r="439" spans="1:11" x14ac:dyDescent="0.25">
      <c r="A439" t="s">
        <v>150</v>
      </c>
      <c r="B439" t="s">
        <v>40</v>
      </c>
      <c r="C439">
        <v>4</v>
      </c>
      <c r="D439">
        <v>5</v>
      </c>
      <c r="E439">
        <v>5</v>
      </c>
      <c r="F439">
        <f>Tabla2[[#This Row],[Score Best Ever]]/Tabla2[[#This Row],[Points Possible]]*100</f>
        <v>100</v>
      </c>
      <c r="G439">
        <v>1</v>
      </c>
      <c r="H439" t="s">
        <v>47</v>
      </c>
      <c r="I439" t="s">
        <v>13</v>
      </c>
      <c r="J439" t="s">
        <v>151</v>
      </c>
      <c r="K439" t="s">
        <v>15</v>
      </c>
    </row>
    <row r="440" spans="1:11" x14ac:dyDescent="0.25">
      <c r="A440" t="s">
        <v>150</v>
      </c>
      <c r="B440" t="s">
        <v>41</v>
      </c>
      <c r="C440">
        <v>4</v>
      </c>
      <c r="D440">
        <v>3</v>
      </c>
      <c r="E440">
        <v>5</v>
      </c>
      <c r="F440">
        <f>Tabla2[[#This Row],[Score Best Ever]]/Tabla2[[#This Row],[Points Possible]]*100</f>
        <v>60</v>
      </c>
      <c r="G440">
        <v>1</v>
      </c>
      <c r="H440" t="s">
        <v>47</v>
      </c>
      <c r="I440" t="s">
        <v>13</v>
      </c>
      <c r="J440" t="s">
        <v>151</v>
      </c>
      <c r="K440" t="s">
        <v>15</v>
      </c>
    </row>
    <row r="441" spans="1:11" x14ac:dyDescent="0.25">
      <c r="A441" t="s">
        <v>150</v>
      </c>
      <c r="B441" t="s">
        <v>42</v>
      </c>
      <c r="C441">
        <v>5</v>
      </c>
      <c r="D441">
        <v>5</v>
      </c>
      <c r="E441">
        <v>5</v>
      </c>
      <c r="F441">
        <f>Tabla2[[#This Row],[Score Best Ever]]/Tabla2[[#This Row],[Points Possible]]*100</f>
        <v>100</v>
      </c>
      <c r="G441">
        <v>6</v>
      </c>
      <c r="H441" t="s">
        <v>53</v>
      </c>
      <c r="I441" t="s">
        <v>13</v>
      </c>
      <c r="J441" t="s">
        <v>151</v>
      </c>
      <c r="K441" t="s">
        <v>15</v>
      </c>
    </row>
    <row r="442" spans="1:11" x14ac:dyDescent="0.25">
      <c r="A442" t="s">
        <v>150</v>
      </c>
      <c r="B442" t="s">
        <v>43</v>
      </c>
      <c r="C442">
        <v>4</v>
      </c>
      <c r="D442">
        <v>5</v>
      </c>
      <c r="E442">
        <v>5</v>
      </c>
      <c r="F442">
        <f>Tabla2[[#This Row],[Score Best Ever]]/Tabla2[[#This Row],[Points Possible]]*100</f>
        <v>100</v>
      </c>
      <c r="G442">
        <v>3</v>
      </c>
      <c r="H442" t="s">
        <v>52</v>
      </c>
      <c r="I442" t="s">
        <v>13</v>
      </c>
      <c r="J442" t="s">
        <v>151</v>
      </c>
      <c r="K442" t="s">
        <v>15</v>
      </c>
    </row>
    <row r="443" spans="1:11" x14ac:dyDescent="0.25">
      <c r="A443" t="s">
        <v>152</v>
      </c>
      <c r="B443" t="s">
        <v>11</v>
      </c>
      <c r="C443">
        <v>5</v>
      </c>
      <c r="D443">
        <v>4</v>
      </c>
      <c r="E443">
        <v>5</v>
      </c>
      <c r="F443">
        <f>Tabla2[[#This Row],[Score Best Ever]]/Tabla2[[#This Row],[Points Possible]]*100</f>
        <v>80</v>
      </c>
      <c r="G443">
        <v>2</v>
      </c>
      <c r="H443" t="s">
        <v>12</v>
      </c>
      <c r="I443" t="s">
        <v>13</v>
      </c>
      <c r="J443" t="s">
        <v>153</v>
      </c>
      <c r="K443" t="s">
        <v>15</v>
      </c>
    </row>
    <row r="444" spans="1:11" x14ac:dyDescent="0.25">
      <c r="A444" t="s">
        <v>152</v>
      </c>
      <c r="B444" t="s">
        <v>17</v>
      </c>
      <c r="C444">
        <v>5</v>
      </c>
      <c r="D444">
        <v>5</v>
      </c>
      <c r="E444">
        <v>5</v>
      </c>
      <c r="F444">
        <f>Tabla2[[#This Row],[Score Best Ever]]/Tabla2[[#This Row],[Points Possible]]*100</f>
        <v>100</v>
      </c>
      <c r="G444">
        <v>3</v>
      </c>
      <c r="H444" t="s">
        <v>20</v>
      </c>
      <c r="I444" t="s">
        <v>13</v>
      </c>
      <c r="J444" t="s">
        <v>153</v>
      </c>
      <c r="K444" t="s">
        <v>15</v>
      </c>
    </row>
    <row r="445" spans="1:11" x14ac:dyDescent="0.25">
      <c r="A445" t="s">
        <v>152</v>
      </c>
      <c r="B445" t="s">
        <v>19</v>
      </c>
      <c r="C445">
        <v>5</v>
      </c>
      <c r="D445">
        <v>4</v>
      </c>
      <c r="E445">
        <v>5</v>
      </c>
      <c r="F445">
        <f>Tabla2[[#This Row],[Score Best Ever]]/Tabla2[[#This Row],[Points Possible]]*100</f>
        <v>80</v>
      </c>
      <c r="G445">
        <v>4</v>
      </c>
      <c r="H445" t="s">
        <v>22</v>
      </c>
      <c r="I445" t="s">
        <v>13</v>
      </c>
      <c r="J445" t="s">
        <v>153</v>
      </c>
      <c r="K445" t="s">
        <v>15</v>
      </c>
    </row>
    <row r="446" spans="1:11" x14ac:dyDescent="0.25">
      <c r="A446" t="s">
        <v>152</v>
      </c>
      <c r="B446" t="s">
        <v>21</v>
      </c>
      <c r="C446">
        <v>4</v>
      </c>
      <c r="D446">
        <v>4</v>
      </c>
      <c r="E446">
        <v>5</v>
      </c>
      <c r="F446">
        <f>Tabla2[[#This Row],[Score Best Ever]]/Tabla2[[#This Row],[Points Possible]]*100</f>
        <v>80</v>
      </c>
      <c r="G446">
        <v>1</v>
      </c>
      <c r="H446" t="s">
        <v>25</v>
      </c>
      <c r="I446" t="s">
        <v>13</v>
      </c>
      <c r="J446" t="s">
        <v>153</v>
      </c>
      <c r="K446" t="s">
        <v>15</v>
      </c>
    </row>
    <row r="447" spans="1:11" x14ac:dyDescent="0.25">
      <c r="A447" t="s">
        <v>152</v>
      </c>
      <c r="B447" t="s">
        <v>24</v>
      </c>
      <c r="C447">
        <v>5</v>
      </c>
      <c r="D447">
        <v>4</v>
      </c>
      <c r="E447">
        <v>5</v>
      </c>
      <c r="F447">
        <f>Tabla2[[#This Row],[Score Best Ever]]/Tabla2[[#This Row],[Points Possible]]*100</f>
        <v>80</v>
      </c>
      <c r="G447">
        <v>3</v>
      </c>
      <c r="H447" t="s">
        <v>18</v>
      </c>
      <c r="I447" t="s">
        <v>13</v>
      </c>
      <c r="J447" t="s">
        <v>153</v>
      </c>
      <c r="K447" t="s">
        <v>15</v>
      </c>
    </row>
    <row r="448" spans="1:11" x14ac:dyDescent="0.25">
      <c r="A448" t="s">
        <v>152</v>
      </c>
      <c r="B448" t="s">
        <v>27</v>
      </c>
      <c r="C448">
        <v>4</v>
      </c>
      <c r="D448">
        <v>2</v>
      </c>
      <c r="E448">
        <v>5</v>
      </c>
      <c r="F448">
        <f>Tabla2[[#This Row],[Score Best Ever]]/Tabla2[[#This Row],[Points Possible]]*100</f>
        <v>40</v>
      </c>
      <c r="G448">
        <v>1</v>
      </c>
      <c r="H448" t="s">
        <v>25</v>
      </c>
      <c r="I448" t="s">
        <v>13</v>
      </c>
      <c r="J448" t="s">
        <v>153</v>
      </c>
      <c r="K448" t="s">
        <v>15</v>
      </c>
    </row>
    <row r="449" spans="1:11" x14ac:dyDescent="0.25">
      <c r="A449" t="s">
        <v>152</v>
      </c>
      <c r="B449" t="s">
        <v>28</v>
      </c>
      <c r="C449">
        <v>4</v>
      </c>
      <c r="D449">
        <v>1</v>
      </c>
      <c r="E449">
        <v>5</v>
      </c>
      <c r="F449">
        <f>Tabla2[[#This Row],[Score Best Ever]]/Tabla2[[#This Row],[Points Possible]]*100</f>
        <v>20</v>
      </c>
      <c r="G449">
        <v>1</v>
      </c>
      <c r="H449" t="s">
        <v>25</v>
      </c>
      <c r="I449" t="s">
        <v>13</v>
      </c>
      <c r="J449" t="s">
        <v>153</v>
      </c>
      <c r="K449" t="s">
        <v>15</v>
      </c>
    </row>
    <row r="450" spans="1:11" x14ac:dyDescent="0.25">
      <c r="A450" t="s">
        <v>152</v>
      </c>
      <c r="B450" t="s">
        <v>30</v>
      </c>
      <c r="C450">
        <v>5</v>
      </c>
      <c r="D450">
        <v>3</v>
      </c>
      <c r="E450">
        <v>5</v>
      </c>
      <c r="F450">
        <f>Tabla2[[#This Row],[Score Best Ever]]/Tabla2[[#This Row],[Points Possible]]*100</f>
        <v>60</v>
      </c>
      <c r="G450">
        <v>2</v>
      </c>
      <c r="H450" t="s">
        <v>12</v>
      </c>
      <c r="I450" t="s">
        <v>13</v>
      </c>
      <c r="J450" t="s">
        <v>153</v>
      </c>
      <c r="K450" t="s">
        <v>15</v>
      </c>
    </row>
    <row r="451" spans="1:11" x14ac:dyDescent="0.25">
      <c r="A451" t="s">
        <v>152</v>
      </c>
      <c r="B451" t="s">
        <v>31</v>
      </c>
      <c r="C451">
        <v>4</v>
      </c>
      <c r="D451">
        <v>3</v>
      </c>
      <c r="E451">
        <v>5</v>
      </c>
      <c r="F451">
        <f>Tabla2[[#This Row],[Score Best Ever]]/Tabla2[[#This Row],[Points Possible]]*100</f>
        <v>60</v>
      </c>
      <c r="G451">
        <v>1</v>
      </c>
      <c r="H451" t="s">
        <v>25</v>
      </c>
      <c r="I451" t="s">
        <v>13</v>
      </c>
      <c r="J451" t="s">
        <v>153</v>
      </c>
      <c r="K451" t="s">
        <v>15</v>
      </c>
    </row>
    <row r="452" spans="1:11" x14ac:dyDescent="0.25">
      <c r="A452" t="s">
        <v>152</v>
      </c>
      <c r="B452" t="s">
        <v>35</v>
      </c>
      <c r="C452">
        <v>5</v>
      </c>
      <c r="D452">
        <v>2</v>
      </c>
      <c r="E452">
        <v>5</v>
      </c>
      <c r="F452">
        <f>Tabla2[[#This Row],[Score Best Ever]]/Tabla2[[#This Row],[Points Possible]]*100</f>
        <v>40</v>
      </c>
      <c r="G452">
        <v>3</v>
      </c>
      <c r="H452" t="s">
        <v>53</v>
      </c>
      <c r="I452" t="s">
        <v>13</v>
      </c>
      <c r="J452" t="s">
        <v>153</v>
      </c>
      <c r="K452" t="s">
        <v>15</v>
      </c>
    </row>
    <row r="453" spans="1:11" x14ac:dyDescent="0.25">
      <c r="A453" t="s">
        <v>152</v>
      </c>
      <c r="B453" t="s">
        <v>36</v>
      </c>
      <c r="C453">
        <v>5</v>
      </c>
      <c r="D453">
        <v>2</v>
      </c>
      <c r="E453">
        <v>5</v>
      </c>
      <c r="F453">
        <f>Tabla2[[#This Row],[Score Best Ever]]/Tabla2[[#This Row],[Points Possible]]*100</f>
        <v>40</v>
      </c>
      <c r="G453">
        <v>2</v>
      </c>
      <c r="H453" t="s">
        <v>12</v>
      </c>
      <c r="I453" t="s">
        <v>13</v>
      </c>
      <c r="J453" t="s">
        <v>153</v>
      </c>
      <c r="K453" t="s">
        <v>15</v>
      </c>
    </row>
    <row r="454" spans="1:11" x14ac:dyDescent="0.25">
      <c r="A454" t="s">
        <v>152</v>
      </c>
      <c r="B454" t="s">
        <v>37</v>
      </c>
      <c r="C454">
        <v>5</v>
      </c>
      <c r="D454">
        <v>5</v>
      </c>
      <c r="E454">
        <v>5</v>
      </c>
      <c r="F454">
        <f>Tabla2[[#This Row],[Score Best Ever]]/Tabla2[[#This Row],[Points Possible]]*100</f>
        <v>100</v>
      </c>
      <c r="G454">
        <v>1</v>
      </c>
      <c r="H454" t="s">
        <v>12</v>
      </c>
      <c r="I454" t="s">
        <v>13</v>
      </c>
      <c r="J454" t="s">
        <v>153</v>
      </c>
      <c r="K454" t="s">
        <v>15</v>
      </c>
    </row>
    <row r="455" spans="1:11" x14ac:dyDescent="0.25">
      <c r="A455" t="s">
        <v>152</v>
      </c>
      <c r="B455" t="s">
        <v>38</v>
      </c>
      <c r="C455">
        <v>5</v>
      </c>
      <c r="D455">
        <v>5</v>
      </c>
      <c r="E455">
        <v>5</v>
      </c>
      <c r="F455">
        <f>Tabla2[[#This Row],[Score Best Ever]]/Tabla2[[#This Row],[Points Possible]]*100</f>
        <v>100</v>
      </c>
      <c r="G455">
        <v>9</v>
      </c>
      <c r="H455" t="s">
        <v>39</v>
      </c>
      <c r="I455" t="s">
        <v>13</v>
      </c>
      <c r="J455" t="s">
        <v>153</v>
      </c>
      <c r="K455" t="s">
        <v>15</v>
      </c>
    </row>
    <row r="456" spans="1:11" x14ac:dyDescent="0.25">
      <c r="A456" t="s">
        <v>152</v>
      </c>
      <c r="B456" t="s">
        <v>40</v>
      </c>
      <c r="C456">
        <v>5</v>
      </c>
      <c r="D456">
        <v>4</v>
      </c>
      <c r="E456">
        <v>5</v>
      </c>
      <c r="F456">
        <f>Tabla2[[#This Row],[Score Best Ever]]/Tabla2[[#This Row],[Points Possible]]*100</f>
        <v>80</v>
      </c>
      <c r="G456">
        <v>2</v>
      </c>
      <c r="H456" t="s">
        <v>12</v>
      </c>
      <c r="I456" t="s">
        <v>13</v>
      </c>
      <c r="J456" t="s">
        <v>153</v>
      </c>
      <c r="K456" t="s">
        <v>15</v>
      </c>
    </row>
    <row r="457" spans="1:11" x14ac:dyDescent="0.25">
      <c r="A457" t="s">
        <v>152</v>
      </c>
      <c r="B457" t="s">
        <v>41</v>
      </c>
      <c r="C457">
        <v>4</v>
      </c>
      <c r="D457">
        <v>2</v>
      </c>
      <c r="E457">
        <v>5</v>
      </c>
      <c r="F457">
        <f>Tabla2[[#This Row],[Score Best Ever]]/Tabla2[[#This Row],[Points Possible]]*100</f>
        <v>40</v>
      </c>
      <c r="G457">
        <v>1</v>
      </c>
      <c r="H457" t="s">
        <v>25</v>
      </c>
      <c r="I457" t="s">
        <v>13</v>
      </c>
      <c r="J457" t="s">
        <v>153</v>
      </c>
      <c r="K457" t="s">
        <v>15</v>
      </c>
    </row>
    <row r="458" spans="1:11" x14ac:dyDescent="0.25">
      <c r="A458" t="s">
        <v>152</v>
      </c>
      <c r="B458" t="s">
        <v>42</v>
      </c>
      <c r="C458">
        <v>4</v>
      </c>
      <c r="D458">
        <v>4</v>
      </c>
      <c r="E458">
        <v>5</v>
      </c>
      <c r="F458">
        <f>Tabla2[[#This Row],[Score Best Ever]]/Tabla2[[#This Row],[Points Possible]]*100</f>
        <v>80</v>
      </c>
      <c r="G458">
        <v>1</v>
      </c>
      <c r="H458" t="s">
        <v>22</v>
      </c>
      <c r="I458" t="s">
        <v>13</v>
      </c>
      <c r="J458" t="s">
        <v>153</v>
      </c>
      <c r="K458" t="s">
        <v>15</v>
      </c>
    </row>
    <row r="459" spans="1:11" x14ac:dyDescent="0.25">
      <c r="A459" t="s">
        <v>152</v>
      </c>
      <c r="B459" t="s">
        <v>43</v>
      </c>
      <c r="C459">
        <v>5</v>
      </c>
      <c r="D459">
        <v>5</v>
      </c>
      <c r="E459">
        <v>5</v>
      </c>
      <c r="F459">
        <f>Tabla2[[#This Row],[Score Best Ever]]/Tabla2[[#This Row],[Points Possible]]*100</f>
        <v>100</v>
      </c>
      <c r="G459">
        <v>5</v>
      </c>
      <c r="H459" t="s">
        <v>44</v>
      </c>
      <c r="I459" t="s">
        <v>13</v>
      </c>
      <c r="J459" t="s">
        <v>153</v>
      </c>
      <c r="K459" t="s">
        <v>15</v>
      </c>
    </row>
    <row r="460" spans="1:11" x14ac:dyDescent="0.25">
      <c r="A460" t="s">
        <v>154</v>
      </c>
      <c r="B460" t="s">
        <v>11</v>
      </c>
      <c r="D460">
        <v>5</v>
      </c>
      <c r="E460">
        <v>5</v>
      </c>
      <c r="F460">
        <f>Tabla2[[#This Row],[Score Best Ever]]/Tabla2[[#This Row],[Points Possible]]*100</f>
        <v>100</v>
      </c>
      <c r="G460">
        <v>0</v>
      </c>
      <c r="H460" t="s">
        <v>155</v>
      </c>
      <c r="I460" t="s">
        <v>13</v>
      </c>
      <c r="J460" t="s">
        <v>156</v>
      </c>
      <c r="K460" t="s">
        <v>15</v>
      </c>
    </row>
    <row r="461" spans="1:11" x14ac:dyDescent="0.25">
      <c r="A461" t="s">
        <v>154</v>
      </c>
      <c r="B461" t="s">
        <v>17</v>
      </c>
      <c r="C461">
        <v>5</v>
      </c>
      <c r="D461">
        <v>5</v>
      </c>
      <c r="E461">
        <v>5</v>
      </c>
      <c r="F461">
        <f>Tabla2[[#This Row],[Score Best Ever]]/Tabla2[[#This Row],[Points Possible]]*100</f>
        <v>100</v>
      </c>
      <c r="G461">
        <v>4</v>
      </c>
      <c r="H461" t="s">
        <v>53</v>
      </c>
      <c r="I461" t="s">
        <v>13</v>
      </c>
      <c r="J461" t="s">
        <v>156</v>
      </c>
      <c r="K461" t="s">
        <v>15</v>
      </c>
    </row>
    <row r="462" spans="1:11" x14ac:dyDescent="0.25">
      <c r="A462" t="s">
        <v>154</v>
      </c>
      <c r="B462" t="s">
        <v>19</v>
      </c>
      <c r="C462">
        <v>4</v>
      </c>
      <c r="D462">
        <v>5</v>
      </c>
      <c r="E462">
        <v>5</v>
      </c>
      <c r="F462">
        <f>Tabla2[[#This Row],[Score Best Ever]]/Tabla2[[#This Row],[Points Possible]]*100</f>
        <v>100</v>
      </c>
      <c r="G462">
        <v>1</v>
      </c>
      <c r="H462" t="s">
        <v>50</v>
      </c>
      <c r="I462" t="s">
        <v>13</v>
      </c>
      <c r="J462" t="s">
        <v>156</v>
      </c>
      <c r="K462" t="s">
        <v>15</v>
      </c>
    </row>
    <row r="463" spans="1:11" x14ac:dyDescent="0.25">
      <c r="A463" t="s">
        <v>154</v>
      </c>
      <c r="B463" t="s">
        <v>21</v>
      </c>
      <c r="C463">
        <v>5</v>
      </c>
      <c r="D463">
        <v>5</v>
      </c>
      <c r="E463">
        <v>5</v>
      </c>
      <c r="F463">
        <f>Tabla2[[#This Row],[Score Best Ever]]/Tabla2[[#This Row],[Points Possible]]*100</f>
        <v>100</v>
      </c>
      <c r="G463">
        <v>1</v>
      </c>
      <c r="H463" t="s">
        <v>12</v>
      </c>
      <c r="I463" t="s">
        <v>13</v>
      </c>
      <c r="J463" t="s">
        <v>156</v>
      </c>
      <c r="K463" t="s">
        <v>15</v>
      </c>
    </row>
    <row r="464" spans="1:11" x14ac:dyDescent="0.25">
      <c r="A464" t="s">
        <v>154</v>
      </c>
      <c r="B464" t="s">
        <v>24</v>
      </c>
      <c r="C464">
        <v>4</v>
      </c>
      <c r="D464">
        <v>3</v>
      </c>
      <c r="E464">
        <v>5</v>
      </c>
      <c r="F464">
        <f>Tabla2[[#This Row],[Score Best Ever]]/Tabla2[[#This Row],[Points Possible]]*100</f>
        <v>60</v>
      </c>
      <c r="G464">
        <v>1</v>
      </c>
      <c r="H464" t="s">
        <v>20</v>
      </c>
      <c r="I464" t="s">
        <v>13</v>
      </c>
      <c r="J464" t="s">
        <v>156</v>
      </c>
      <c r="K464" t="s">
        <v>15</v>
      </c>
    </row>
    <row r="465" spans="1:11" x14ac:dyDescent="0.25">
      <c r="A465" t="s">
        <v>154</v>
      </c>
      <c r="B465" t="s">
        <v>27</v>
      </c>
      <c r="C465">
        <v>5</v>
      </c>
      <c r="D465">
        <v>4</v>
      </c>
      <c r="E465">
        <v>5</v>
      </c>
      <c r="F465">
        <f>Tabla2[[#This Row],[Score Best Ever]]/Tabla2[[#This Row],[Points Possible]]*100</f>
        <v>80</v>
      </c>
      <c r="G465">
        <v>1</v>
      </c>
      <c r="H465" t="s">
        <v>12</v>
      </c>
      <c r="I465" t="s">
        <v>13</v>
      </c>
      <c r="J465" t="s">
        <v>156</v>
      </c>
      <c r="K465" t="s">
        <v>15</v>
      </c>
    </row>
    <row r="466" spans="1:11" x14ac:dyDescent="0.25">
      <c r="A466" t="s">
        <v>154</v>
      </c>
      <c r="B466" t="s">
        <v>28</v>
      </c>
      <c r="C466">
        <v>5</v>
      </c>
      <c r="D466">
        <v>5</v>
      </c>
      <c r="E466">
        <v>5</v>
      </c>
      <c r="F466">
        <f>Tabla2[[#This Row],[Score Best Ever]]/Tabla2[[#This Row],[Points Possible]]*100</f>
        <v>100</v>
      </c>
      <c r="G466">
        <v>3</v>
      </c>
      <c r="H466" t="s">
        <v>18</v>
      </c>
      <c r="I466" t="s">
        <v>13</v>
      </c>
      <c r="J466" t="s">
        <v>156</v>
      </c>
      <c r="K466" t="s">
        <v>15</v>
      </c>
    </row>
    <row r="467" spans="1:11" x14ac:dyDescent="0.25">
      <c r="A467" t="s">
        <v>154</v>
      </c>
      <c r="B467" t="s">
        <v>30</v>
      </c>
      <c r="C467">
        <v>4</v>
      </c>
      <c r="D467">
        <v>4</v>
      </c>
      <c r="E467">
        <v>5</v>
      </c>
      <c r="F467">
        <f>Tabla2[[#This Row],[Score Best Ever]]/Tabla2[[#This Row],[Points Possible]]*100</f>
        <v>80</v>
      </c>
      <c r="G467">
        <v>1</v>
      </c>
      <c r="H467" t="s">
        <v>20</v>
      </c>
      <c r="I467" t="s">
        <v>13</v>
      </c>
      <c r="J467" t="s">
        <v>156</v>
      </c>
      <c r="K467" t="s">
        <v>15</v>
      </c>
    </row>
    <row r="468" spans="1:11" x14ac:dyDescent="0.25">
      <c r="A468" t="s">
        <v>154</v>
      </c>
      <c r="B468" t="s">
        <v>31</v>
      </c>
      <c r="C468">
        <v>5</v>
      </c>
      <c r="D468">
        <v>4</v>
      </c>
      <c r="E468">
        <v>5</v>
      </c>
      <c r="F468">
        <f>Tabla2[[#This Row],[Score Best Ever]]/Tabla2[[#This Row],[Points Possible]]*100</f>
        <v>80</v>
      </c>
      <c r="G468">
        <v>1</v>
      </c>
      <c r="H468" t="s">
        <v>12</v>
      </c>
      <c r="I468" t="s">
        <v>13</v>
      </c>
      <c r="J468" t="s">
        <v>156</v>
      </c>
      <c r="K468" t="s">
        <v>15</v>
      </c>
    </row>
    <row r="469" spans="1:11" x14ac:dyDescent="0.25">
      <c r="A469" t="s">
        <v>154</v>
      </c>
      <c r="B469" t="s">
        <v>35</v>
      </c>
      <c r="C469">
        <v>5</v>
      </c>
      <c r="D469">
        <v>4</v>
      </c>
      <c r="E469">
        <v>5</v>
      </c>
      <c r="F469">
        <f>Tabla2[[#This Row],[Score Best Ever]]/Tabla2[[#This Row],[Points Possible]]*100</f>
        <v>80</v>
      </c>
      <c r="G469">
        <v>4</v>
      </c>
      <c r="H469" t="s">
        <v>48</v>
      </c>
      <c r="I469" t="s">
        <v>13</v>
      </c>
      <c r="J469" t="s">
        <v>156</v>
      </c>
      <c r="K469" t="s">
        <v>15</v>
      </c>
    </row>
    <row r="470" spans="1:11" x14ac:dyDescent="0.25">
      <c r="A470" t="s">
        <v>154</v>
      </c>
      <c r="B470" t="s">
        <v>36</v>
      </c>
      <c r="D470">
        <v>4</v>
      </c>
      <c r="E470">
        <v>5</v>
      </c>
      <c r="F470">
        <f>Tabla2[[#This Row],[Score Best Ever]]/Tabla2[[#This Row],[Points Possible]]*100</f>
        <v>80</v>
      </c>
      <c r="G470">
        <v>0</v>
      </c>
      <c r="H470" t="s">
        <v>157</v>
      </c>
      <c r="I470" t="s">
        <v>13</v>
      </c>
      <c r="J470" t="s">
        <v>156</v>
      </c>
      <c r="K470" t="s">
        <v>15</v>
      </c>
    </row>
    <row r="471" spans="1:11" x14ac:dyDescent="0.25">
      <c r="A471" t="s">
        <v>154</v>
      </c>
      <c r="B471" t="s">
        <v>37</v>
      </c>
      <c r="C471">
        <v>4</v>
      </c>
      <c r="D471">
        <v>5</v>
      </c>
      <c r="E471">
        <v>5</v>
      </c>
      <c r="F471">
        <f>Tabla2[[#This Row],[Score Best Ever]]/Tabla2[[#This Row],[Points Possible]]*100</f>
        <v>100</v>
      </c>
      <c r="G471">
        <v>2</v>
      </c>
      <c r="H471" t="s">
        <v>18</v>
      </c>
      <c r="I471" t="s">
        <v>13</v>
      </c>
      <c r="J471" t="s">
        <v>156</v>
      </c>
      <c r="K471" t="s">
        <v>15</v>
      </c>
    </row>
    <row r="472" spans="1:11" x14ac:dyDescent="0.25">
      <c r="A472" t="s">
        <v>154</v>
      </c>
      <c r="B472" t="s">
        <v>38</v>
      </c>
      <c r="C472">
        <v>5</v>
      </c>
      <c r="D472">
        <v>5</v>
      </c>
      <c r="E472">
        <v>5</v>
      </c>
      <c r="F472">
        <f>Tabla2[[#This Row],[Score Best Ever]]/Tabla2[[#This Row],[Points Possible]]*100</f>
        <v>100</v>
      </c>
      <c r="G472">
        <v>2</v>
      </c>
      <c r="H472" t="s">
        <v>59</v>
      </c>
      <c r="I472" t="s">
        <v>13</v>
      </c>
      <c r="J472" t="s">
        <v>156</v>
      </c>
      <c r="K472" t="s">
        <v>15</v>
      </c>
    </row>
    <row r="473" spans="1:11" x14ac:dyDescent="0.25">
      <c r="A473" t="s">
        <v>154</v>
      </c>
      <c r="B473" t="s">
        <v>40</v>
      </c>
      <c r="C473">
        <v>4</v>
      </c>
      <c r="D473">
        <v>5</v>
      </c>
      <c r="E473">
        <v>5</v>
      </c>
      <c r="F473">
        <f>Tabla2[[#This Row],[Score Best Ever]]/Tabla2[[#This Row],[Points Possible]]*100</f>
        <v>100</v>
      </c>
      <c r="G473">
        <v>1</v>
      </c>
      <c r="H473" t="s">
        <v>20</v>
      </c>
      <c r="I473" t="s">
        <v>13</v>
      </c>
      <c r="J473" t="s">
        <v>156</v>
      </c>
      <c r="K473" t="s">
        <v>15</v>
      </c>
    </row>
    <row r="474" spans="1:11" x14ac:dyDescent="0.25">
      <c r="A474" t="s">
        <v>154</v>
      </c>
      <c r="B474" t="s">
        <v>41</v>
      </c>
      <c r="C474">
        <v>5</v>
      </c>
      <c r="D474">
        <v>5</v>
      </c>
      <c r="E474">
        <v>5</v>
      </c>
      <c r="F474">
        <f>Tabla2[[#This Row],[Score Best Ever]]/Tabla2[[#This Row],[Points Possible]]*100</f>
        <v>100</v>
      </c>
      <c r="G474">
        <v>1</v>
      </c>
      <c r="H474" t="s">
        <v>12</v>
      </c>
      <c r="I474" t="s">
        <v>13</v>
      </c>
      <c r="J474" t="s">
        <v>156</v>
      </c>
      <c r="K474" t="s">
        <v>15</v>
      </c>
    </row>
    <row r="475" spans="1:11" x14ac:dyDescent="0.25">
      <c r="A475" t="s">
        <v>154</v>
      </c>
      <c r="B475" t="s">
        <v>42</v>
      </c>
      <c r="C475">
        <v>4</v>
      </c>
      <c r="D475">
        <v>5</v>
      </c>
      <c r="E475">
        <v>5</v>
      </c>
      <c r="F475">
        <f>Tabla2[[#This Row],[Score Best Ever]]/Tabla2[[#This Row],[Points Possible]]*100</f>
        <v>100</v>
      </c>
      <c r="G475">
        <v>1</v>
      </c>
      <c r="H475" t="s">
        <v>50</v>
      </c>
      <c r="I475" t="s">
        <v>13</v>
      </c>
      <c r="J475" t="s">
        <v>156</v>
      </c>
      <c r="K475" t="s">
        <v>15</v>
      </c>
    </row>
    <row r="476" spans="1:11" x14ac:dyDescent="0.25">
      <c r="A476" t="s">
        <v>154</v>
      </c>
      <c r="B476" t="s">
        <v>43</v>
      </c>
      <c r="C476">
        <v>5</v>
      </c>
      <c r="D476">
        <v>5</v>
      </c>
      <c r="E476">
        <v>5</v>
      </c>
      <c r="F476">
        <f>Tabla2[[#This Row],[Score Best Ever]]/Tabla2[[#This Row],[Points Possible]]*100</f>
        <v>100</v>
      </c>
      <c r="G476">
        <v>2</v>
      </c>
      <c r="H476" t="s">
        <v>22</v>
      </c>
      <c r="I476" t="s">
        <v>13</v>
      </c>
      <c r="J476" t="s">
        <v>156</v>
      </c>
      <c r="K476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Downloaded 2018.09.03 - All ass</vt:lpstr>
      <vt:lpstr>Notas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BRICEÑO</dc:creator>
  <cp:lastModifiedBy>LUIS BRICEÑO</cp:lastModifiedBy>
  <dcterms:created xsi:type="dcterms:W3CDTF">2018-09-03T14:04:24Z</dcterms:created>
  <dcterms:modified xsi:type="dcterms:W3CDTF">2019-04-26T15:35:19Z</dcterms:modified>
</cp:coreProperties>
</file>